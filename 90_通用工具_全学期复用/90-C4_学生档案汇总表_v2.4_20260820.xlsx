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怎么用" sheetId="1" state="visible" r:id="rId1"/>
    <sheet xmlns:r="http://schemas.openxmlformats.org/officeDocument/2006/relationships" name="学生档案" sheetId="2" state="visible" r:id="rId2"/>
    <sheet xmlns:r="http://schemas.openxmlformats.org/officeDocument/2006/relationships" name="每周积分" sheetId="3" state="visible" r:id="rId3"/>
    <sheet xmlns:r="http://schemas.openxmlformats.org/officeDocument/2006/relationships" name="本周计算器" sheetId="4" state="visible" r:id="rId4"/>
    <sheet xmlns:r="http://schemas.openxmlformats.org/officeDocument/2006/relationships" name="本周之星" sheetId="5" state="visible" r:id="rId5"/>
    <sheet xmlns:r="http://schemas.openxmlformats.org/officeDocument/2006/relationships" name="问卷统计" sheetId="6" state="visible" r:id="rId6"/>
    <sheet xmlns:r="http://schemas.openxmlformats.org/officeDocument/2006/relationships" name="企业微信飞书字段" sheetId="7" state="visible" r:id="rId7"/>
    <sheet xmlns:r="http://schemas.openxmlformats.org/officeDocument/2006/relationships" name="分组怎么做" sheetId="8" state="visible" r:id="rId8"/>
    <sheet xmlns:r="http://schemas.openxmlformats.org/officeDocument/2006/relationships" name="紫色T列怎么用" sheetId="9" state="visible" r:id="rId9"/>
    <sheet xmlns:r="http://schemas.openxmlformats.org/officeDocument/2006/relationships" name="选项库" sheetId="10" state="visible" r:id="rId10"/>
  </sheets>
  <definedNames>
    <definedName name="_xlnm._FilterDatabase" localSheetId="1" hidden="1">'学生档案'!$A$2:$AF$2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3">
    <font>
      <name val="Calibri"/>
      <family val="2"/>
      <color theme="1"/>
      <sz val="11"/>
      <scheme val="minor"/>
    </font>
    <font>
      <name val="微软雅黑"/>
      <b val="1"/>
      <color rgb="00BF360C"/>
      <sz val="18"/>
    </font>
    <font>
      <name val="微软雅黑"/>
      <b val="1"/>
      <color rgb="00FFFFFF"/>
      <sz val="13"/>
    </font>
    <font>
      <name val="微软雅黑"/>
      <sz val="11"/>
    </font>
    <font>
      <name val="微软雅黑"/>
      <b val="1"/>
      <color rgb="004527A0"/>
      <sz val="16"/>
    </font>
    <font>
      <name val="微软雅黑"/>
      <color rgb="00546E7A"/>
      <sz val="9"/>
    </font>
    <font>
      <name val="微软雅黑"/>
      <b val="1"/>
      <color rgb="00FFFFFF"/>
      <sz val="9"/>
    </font>
    <font>
      <name val="微软雅黑"/>
      <color rgb="00212121"/>
      <sz val="10"/>
    </font>
    <font>
      <name val="微软雅黑"/>
      <b val="1"/>
      <color rgb="00BF360C"/>
      <sz val="13"/>
    </font>
    <font>
      <name val="微软雅黑"/>
      <b val="1"/>
      <sz val="12"/>
    </font>
    <font>
      <name val="微软雅黑"/>
      <b val="1"/>
      <color rgb="00BF360C"/>
      <sz val="10"/>
    </font>
    <font>
      <name val="微软雅黑"/>
      <b val="1"/>
      <color rgb="00BF360C"/>
      <sz val="14"/>
    </font>
    <font>
      <name val="微软雅黑"/>
      <b val="1"/>
      <sz val="11"/>
    </font>
    <font>
      <name val="微软雅黑"/>
      <b val="1"/>
      <color rgb="00BF360C"/>
      <sz val="12"/>
    </font>
    <font>
      <name val="微软雅黑"/>
      <b val="1"/>
      <color rgb="00E65100"/>
      <sz val="11"/>
    </font>
    <font>
      <name val="微软雅黑"/>
      <color rgb="00212121"/>
      <sz val="11"/>
    </font>
    <font>
      <name val="微软雅黑"/>
      <b val="1"/>
      <color rgb="00212121"/>
      <sz val="11"/>
    </font>
    <font>
      <name val="微软雅黑"/>
      <color rgb="00546E7A"/>
      <sz val="11"/>
    </font>
    <font>
      <name val="微软雅黑"/>
      <b val="1"/>
      <sz val="10"/>
    </font>
    <font>
      <name val="微软雅黑"/>
      <sz val="10"/>
    </font>
    <font>
      <name val="微软雅黑"/>
      <color rgb="00546E7A"/>
      <sz val="10"/>
    </font>
    <font>
      <name val="微软雅黑"/>
      <b val="1"/>
      <color rgb="00FFFFFF"/>
      <sz val="12"/>
    </font>
    <font>
      <name val="微软雅黑"/>
      <b val="1"/>
      <color rgb="00212121"/>
      <sz val="9"/>
    </font>
  </fonts>
  <fills count="19">
    <fill>
      <patternFill/>
    </fill>
    <fill>
      <patternFill patternType="gray125"/>
    </fill>
    <fill>
      <patternFill patternType="solid">
        <fgColor rgb="00BF360C"/>
      </patternFill>
    </fill>
    <fill>
      <patternFill patternType="solid">
        <fgColor rgb="00FFF8E1"/>
      </patternFill>
    </fill>
    <fill>
      <patternFill patternType="solid">
        <fgColor rgb="004527A0"/>
      </patternFill>
    </fill>
    <fill>
      <patternFill patternType="solid">
        <fgColor rgb="00F3E5F5"/>
      </patternFill>
    </fill>
    <fill>
      <patternFill patternType="solid">
        <fgColor rgb="0037474F"/>
      </patternFill>
    </fill>
    <fill>
      <patternFill patternType="solid">
        <fgColor rgb="00E3F2FD"/>
      </patternFill>
    </fill>
    <fill>
      <patternFill patternType="solid">
        <fgColor rgb="00FAFAFA"/>
      </patternFill>
    </fill>
    <fill>
      <patternFill patternType="solid">
        <fgColor rgb="00BBDEFB"/>
      </patternFill>
    </fill>
    <fill>
      <patternFill patternType="solid">
        <fgColor rgb="0000695C"/>
      </patternFill>
    </fill>
    <fill>
      <patternFill patternType="solid">
        <fgColor rgb="006A1B9A"/>
      </patternFill>
    </fill>
    <fill>
      <patternFill patternType="solid">
        <fgColor rgb="00E65100"/>
      </patternFill>
    </fill>
    <fill>
      <patternFill patternType="solid">
        <fgColor rgb="00FFF3E0"/>
      </patternFill>
    </fill>
    <fill>
      <patternFill patternType="solid">
        <fgColor rgb="00F57F17"/>
      </patternFill>
    </fill>
    <fill>
      <patternFill patternType="solid">
        <fgColor rgb="00FFEBEE"/>
      </patternFill>
    </fill>
    <fill>
      <patternFill patternType="solid">
        <fgColor rgb="00EEEEEE"/>
      </patternFill>
    </fill>
    <fill>
      <patternFill patternType="solid">
        <fgColor rgb="00E8F5E9"/>
      </patternFill>
    </fill>
    <fill>
      <patternFill patternType="solid">
        <fgColor rgb="00F9A825"/>
      </patternFill>
    </fill>
  </fills>
  <borders count="6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/>
      <top style="thin">
        <color rgb="00B0BEC5"/>
      </top>
      <bottom style="thin">
        <color rgb="00B0BEC5"/>
      </bottom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0" fontId="7" fillId="7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7" fillId="8" borderId="1" applyAlignment="1" pivotButton="0" quotePrefix="0" xfId="0">
      <alignment vertical="center"/>
    </xf>
    <xf numFmtId="0" fontId="7" fillId="9" borderId="1" applyAlignment="1" pivotButton="0" quotePrefix="0" xfId="0">
      <alignment vertical="center"/>
    </xf>
    <xf numFmtId="0" fontId="10" fillId="0" borderId="0" pivotButton="0" quotePrefix="0" xfId="0"/>
    <xf numFmtId="0" fontId="11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" fontId="7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3" borderId="0" pivotButton="0" quotePrefix="0" xfId="0"/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13" borderId="1" pivotButton="0" quotePrefix="0" xfId="0"/>
    <xf numFmtId="0" fontId="6" fillId="14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0" fontId="7" fillId="15" borderId="1" pivotButton="0" quotePrefix="0" xfId="0"/>
    <xf numFmtId="164" fontId="7" fillId="15" borderId="1" pivotButton="0" quotePrefix="0" xfId="0"/>
    <xf numFmtId="0" fontId="12" fillId="3" borderId="1" pivotButton="0" quotePrefix="0" xfId="0"/>
    <xf numFmtId="0" fontId="7" fillId="16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17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13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7" fillId="5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0" fontId="6" fillId="6" borderId="0" pivotButton="0" quotePrefix="0" xfId="0"/>
    <xf numFmtId="0" fontId="7" fillId="0" borderId="0" pivotButton="0" quotePrefix="0" xfId="0"/>
    <xf numFmtId="0" fontId="12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3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14" fillId="3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16" fillId="13" borderId="0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21" fillId="12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18" fillId="5" borderId="1" applyAlignment="1" pivotButton="0" quotePrefix="0" xfId="0">
      <alignment horizontal="left" vertical="center" wrapText="1"/>
    </xf>
    <xf numFmtId="0" fontId="19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22" fillId="18" borderId="1" applyAlignment="1" pivotButton="0" quotePrefix="0" xfId="0">
      <alignment horizontal="center" vertical="center" wrapText="1"/>
    </xf>
    <xf numFmtId="0" fontId="16" fillId="13" borderId="0" applyAlignment="1" pivotButton="0" quotePrefix="0" xfId="0">
      <alignment vertical="center" wrapText="1"/>
    </xf>
    <xf numFmtId="0" fontId="15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FFEB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90-C4</author>
  </authors>
  <commentList>
    <comment ref="V2" authorId="0" shapeId="0">
      <text>
        <t>第18题。学生选完，紫色「T_红线_形象」会自动标。
不要用我的照片 / 只给我自己看 → ★形象不可公开
出镜、合照前看这一列。</t>
      </text>
    </comment>
    <comment ref="AA2" authorId="0" shapeId="0">
      <text>
        <t>纸质点单表才用手写签名，表示本人填的。
企业微信不要建这一题：提交者就是本人，电子签名没有额外用处。
从企业微信导入时这一列空着即可。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BF360C"/>
    <outlinePr summaryBelow="1" summaryRight="1"/>
    <pageSetUpPr/>
  </sheetPr>
  <dimension ref="A1:B80"/>
  <sheetViews>
    <sheetView showGridLines="0" workbookViewId="0">
      <selection activeCell="A1" sqref="A1"/>
    </sheetView>
  </sheetViews>
  <sheetFormatPr baseColWidth="8" defaultRowHeight="15" outlineLevelCol="0"/>
  <cols>
    <col width="108" customWidth="1" min="1" max="1"/>
    <col width="13" customWidth="1" min="2" max="2"/>
  </cols>
  <sheetData>
    <row r="1" ht="28" customHeight="1">
      <c r="A1" s="49" t="inlineStr">
        <is>
          <t>90-C4 学生档案与积分总表　v2.4　2026-08-20</t>
        </is>
      </c>
    </row>
    <row r="2">
      <c r="A2" s="50" t="n"/>
      <c r="B2" s="50" t="n"/>
    </row>
    <row r="3" ht="22" customHeight="1">
      <c r="A3" s="51" t="inlineStr">
        <is>
          <t>一、先把三个最容易懵的词说清楚</t>
        </is>
      </c>
    </row>
    <row r="4" ht="22" customHeight="1">
      <c r="A4" s="52" t="inlineStr">
        <is>
          <t>1）「文件名」——电脑里现在没有这个文件，Excel 也不是相册</t>
        </is>
      </c>
    </row>
    <row r="5" ht="56" customHeight="1">
      <c r="A5" s="53" t="inlineStr">
        <is>
          <t>贴完学号以后，紫色格子会出现「2401006.png」这种字。这不是一张已经画好的图，也不是网盘链接。它只是一张便签：以后你要给这个学生画卡通头像（用电脑生成，或自己画），保存图片时就把文件名叫成学号，比如 2401006.png。40 个人的头像才不会乱。现在还没画，所以你在电脑里、在这个 Excel 里，都找不到这个文件。正常，不用找、不用建文件夹。</t>
        </is>
      </c>
    </row>
    <row r="6" ht="22" customHeight="1">
      <c r="A6" s="52" t="inlineStr">
        <is>
          <t>2）「去每周积分里找总分」——不是现在去翻一份现成的分数</t>
        </is>
      </c>
    </row>
    <row r="7" ht="48" customHeight="1">
      <c r="A7" s="53" t="inlineStr">
        <is>
          <t>「学生档案」右边的 T_累计积分，会到旁边那张「每周积分」里，按学号把这个人各周的分加起来。现在还没上课，「每周积分」全是空的，所以这边显示 0。不是公式坏了，是还没开始记。它的用处：以后评奖、学生来换免点名卡、看谁领先，你看这一列就行，不用自己拿计算器加。</t>
        </is>
      </c>
    </row>
    <row r="8" ht="22" customHeight="1">
      <c r="A8" s="52" t="inlineStr">
        <is>
          <t>3）「文件名、累计积分、等级、红线自己跳出来」——就是公式自动算，你不用填</t>
        </is>
      </c>
    </row>
    <row r="9" ht="56" customHeight="1">
      <c r="A9" s="53" t="inlineStr">
        <is>
          <t>你只负责把学生填的题贴进左边（班级到第21题）。右边四列紫色格子是公式：有学号 → 出现 学号.png；有学号且每周积分开始有数 → 累计分会涨；有第18题 → 红线会写成「可正常使用 / 只用奖励风格 / ★形象不可公开」。不要往紫色格子里粘企业微信导出。T_备注是唯一要你手写的（班长、人缘好、缺课）。</t>
        </is>
      </c>
    </row>
    <row r="10" ht="18" customHeight="1">
      <c r="A10" s="3" t="n"/>
      <c r="B10" s="50" t="n"/>
    </row>
    <row r="11" ht="22" customHeight="1">
      <c r="A11" s="51" t="inlineStr">
        <is>
          <t>二、积分平时怎么记（本周计算器在哪、G列到底是哪一列）</t>
        </is>
      </c>
    </row>
    <row r="12" ht="28" customHeight="1">
      <c r="A12" s="52" t="inlineStr">
        <is>
          <t>「本周计算器」就是本文件底下的一张表，和「每周积分」并排。不是另一个软件。点最底下的表名就能进去。</t>
        </is>
      </c>
    </row>
    <row r="13" ht="64" customHeight="1">
      <c r="A13" s="53" t="inlineStr">
        <is>
          <t>课堂上不是举手加分。用 90-B2 点名器：视频放完抽 3 个人，说「册子举起来」，写了 2 分、写好或愿意念 5 分、空白跳过不说话。下课点「导出成绩表」。打地鼠用 90-B1，一局 12 题，每题约 12 秒，游戏里会显示 60～140 分——那是游戏分，不会直接加进周分，计算器会折成 0 / 2 / 5。作业不是书后课后题，你不用一本一本改。只有项目结束的收集表、或最难的加分题收集表，才打三档：没写 0、写了跑题 2、写了切题 5。没有收集表的那一周，作业列空着。</t>
        </is>
      </c>
    </row>
    <row r="14" ht="108" customHeight="1">
      <c r="A14" s="53" t="inlineStr">
        <is>
          <t>每周做一次（比如周五）就这 5 步：
1. 打开本文件，点最底下「本周计算器」。
2. 点名器导出的表，找到最下面「本节汇总」（三列：姓名 / 组号 / 本节合计），贴到右边 S 列。
3. 打地鼠导出的表，连表头贴到中间 J 列。D 列会自己变成 0、2 或 5。
4. 如果这周有收集表，E、F 列手填 0 或 2 或 5；没有就空着。
5. 「本周计算器」里表头黄色、写着「本周合计 ← 复制这一列」的那一列，复制 → 打开「每周积分」→ 粘到正在记的那一周（第1周就粘第1周，第5周才粘第5周）→ 右键「粘贴数值」。
不要复制「每周积分」自己的 G 列。那一列表头是「第5周」。</t>
        </is>
      </c>
    </row>
    <row r="15" ht="40" customHeight="1">
      <c r="A15" s="53" t="inlineStr">
        <is>
          <t>粘完以后，「学生档案」最右边 T_累计积分 会自己涨。等级（15 出纳 / 30 记账 / 50 主管 / 80 CFO）是漫画换装用的。换东西看 90-C00：20 分一张免点名卡，50 分期末 +1，80 分期末 +2。现在全是 0，正常。</t>
        </is>
      </c>
    </row>
    <row r="16" ht="18" customHeight="1">
      <c r="A16" s="3" t="n"/>
      <c r="B16" s="50" t="n"/>
    </row>
    <row r="17" ht="22" customHeight="1">
      <c r="A17" s="51" t="inlineStr">
        <is>
          <t>三、分组那张表你要做什么</t>
        </is>
      </c>
    </row>
    <row r="18" ht="22" customHeight="1">
      <c r="A18" s="52" t="inlineStr">
        <is>
          <t>这张表不会自动分组。Excel 不会帮你把人分好。你只填 G 列。</t>
        </is>
      </c>
    </row>
    <row r="19" ht="88" customHeight="1">
      <c r="A19" s="53" t="inlineStr">
        <is>
          <t>问卷还没收回来时，「分组怎么做」左边是空的，F 列标签也是空的，正常。标签不是学期一开始就有的，是贴进「学生档案」之后，按第1题、第2题自动打的。你只在 G 列下拉选出纳组、记账组、成本组、审核组、仓管组、报表组。先把「种子-数学」一人一组、再把「零基础」一人一组、需帮扶跟着种子、剩下的人往人少的组填。不要让学委分组——学委会把熟人放一起，标签就没用了。学委只可以帮你核对宿舍号写得对不对。填完看右边：每组都要有种子、都要有零基础。详细步骤和假人例子写在「分组怎么做」最下面。不要跟学生说「种子」「零基础」。打印 90-C10 桌签放到桌上。出纳组不用专门上一堂课：桌签上已有一行「管钱的」。你说：你们这组叫出纳组，管钱的，库存现金、银行存款以后从你们这过。现在先坐一起。</t>
        </is>
      </c>
    </row>
    <row r="20" ht="28" customHeight="1">
      <c r="A20" s="3" t="n"/>
      <c r="B20" s="50" t="n"/>
    </row>
    <row r="21" ht="22" customHeight="1">
      <c r="A21" s="51" t="inlineStr">
        <is>
          <t>四、企业微信到底怎么用（就按这个做）</t>
        </is>
      </c>
    </row>
    <row r="22" ht="22" customHeight="1">
      <c r="A22" s="53" t="inlineStr">
        <is>
          <t>对。学校都有企业微信，学生也熟，就用企业微信收集表。飞书可以放弃。</t>
        </is>
      </c>
    </row>
    <row r="23" ht="18" customHeight="1">
      <c r="A23" s="53" t="inlineStr">
        <is>
          <t>1. 打开本文件「企业微信飞书字段」。</t>
        </is>
      </c>
    </row>
    <row r="24" ht="28" customHeight="1">
      <c r="A24" s="53" t="inlineStr">
        <is>
          <t>2. 「是否在企业微信建」= 是 的，才建题。「否」的不要建（班级、姓名、日期、签名，企业微信自己有）。</t>
        </is>
      </c>
    </row>
    <row r="25" ht="22" customHeight="1">
      <c r="A25" s="53" t="inlineStr">
        <is>
          <t>3. 「字段标题」整格复制，一个字别改——导出后才能对上「学生档案」的列名。</t>
        </is>
      </c>
    </row>
    <row r="26" ht="28" customHeight="1">
      <c r="A26" s="53" t="inlineStr">
        <is>
          <t>4. 「发给学生看的说明」粘到该题的说明/备注里。旁边橙色「老师自己看」不要贴进收集表。</t>
        </is>
      </c>
    </row>
    <row r="27" ht="22" customHeight="1">
      <c r="A27" s="53" t="inlineStr">
        <is>
          <t>5. 题型按表上的来，选项按「／」拆开一条一条粘。必填按表上勾。</t>
        </is>
      </c>
    </row>
    <row r="28" ht="22" customHeight="1">
      <c r="A28" s="53" t="inlineStr">
        <is>
          <t>6. 发到班级群。收齐后：收集表右上角 → 导出 Excel。</t>
        </is>
      </c>
    </row>
    <row r="29" ht="28" customHeight="1">
      <c r="A29" s="53" t="inlineStr">
        <is>
          <t>7. 导出文件最前面会多「提交者」「提交时间」。把「提交者」整列复制到本表「学生档案」的「姓名」列；「提交时间」丢掉。</t>
        </is>
      </c>
    </row>
    <row r="30" ht="28" customHeight="1">
      <c r="A30" s="53" t="inlineStr">
        <is>
          <t>8. 其余列按列名对到「学生档案」A 到 AA，只贴学生填的那些列。紫色 T_ 列不要贴、不要盖。</t>
        </is>
      </c>
    </row>
    <row r="31" ht="30" customHeight="1">
      <c r="A31" s="3" t="n"/>
      <c r="B31" s="50" t="n"/>
    </row>
    <row r="32" ht="22" customHeight="1">
      <c r="A32" s="51" t="inlineStr">
        <is>
          <t>五、第16题怎么问（已经改过）</t>
        </is>
      </c>
    </row>
    <row r="33" ht="56" customHeight="1">
      <c r="A33" s="53" t="inlineStr">
        <is>
          <t>旧的问法是「愿不愿意被画进上课漫画」。学生不知道你会怎么画，听着像有风险，很多人会勾不愿意。已经改成：想不想在投影上和自己喜欢的卡通或明星同框。像表情包合照，不是丑照。不想选后面两项，不扣分。企业微信、纸质点单表、这一份档案表的选项已经对齐。建收集表时把「发给学生看的说明」贴上。</t>
        </is>
      </c>
    </row>
    <row r="34" ht="30" customHeight="1">
      <c r="A34" s="3" t="n"/>
      <c r="B34" s="50" t="n"/>
    </row>
    <row r="35" ht="22" customHeight="1">
      <c r="A35" s="51" t="inlineStr">
        <is>
          <t>六、签名列、蓝格紫格、第18题</t>
        </is>
      </c>
    </row>
    <row r="36" ht="22" customHeight="1">
      <c r="A36" s="54" t="inlineStr">
        <is>
          <t>Q：AA 列「本人签名」怎么用？要电子签名吗？</t>
        </is>
      </c>
    </row>
    <row r="37" ht="28" customHeight="1">
      <c r="A37" s="53" t="inlineStr">
        <is>
          <t>A：不用。企业微信不建这一题。纸质打印才让学生手写。电子签名没有额外用处——提交者就是本人。档案表这列空着就行。</t>
        </is>
      </c>
    </row>
    <row r="38" ht="22" customHeight="1">
      <c r="A38" s="54" t="inlineStr">
        <is>
          <t>Q：为什么有的格子蓝、有的不蓝？紫色会自动出来吗？</t>
        </is>
      </c>
    </row>
    <row r="39" ht="28" customHeight="1">
      <c r="A39" s="53" t="inlineStr">
        <is>
          <t>A：蓝格＝有下拉（单选/多选/日期），白格＝自由写。紫格＝公式。你把学号和第18题贴进来之后，紫色四列自己跳出来，不要往紫格里粘。</t>
        </is>
      </c>
    </row>
    <row r="40" ht="22" customHeight="1">
      <c r="A40" s="54" t="inlineStr">
        <is>
          <t>Q：第18题学生能看懂吗？要先讲教学方案吗？</t>
        </is>
      </c>
    </row>
    <row r="41" ht="36" customHeight="1">
      <c r="A41" s="53" t="inlineStr">
        <is>
          <t>A：不要先讲整套方案。学生问「画卡通是什么」就说：像表情包，不是丑照，原照片不发群，不想用照片就选最后一项，不扣分。不要讲「代号」「红线」「出镜排期」。</t>
        </is>
      </c>
    </row>
    <row r="42" ht="22" customHeight="1">
      <c r="A42" s="54" t="inlineStr">
        <is>
          <t>Q：第1题能贴「分组用，每组放一个完全没有」吗？</t>
        </is>
      </c>
    </row>
    <row r="43" ht="28" customHeight="1">
      <c r="A43" s="53" t="inlineStr">
        <is>
          <t>A：不能。那是给你自己看的。贴给学生的只复制「发给学生看的说明」那一列；橙色「老师自己看」不要贴进收集表。</t>
        </is>
      </c>
    </row>
    <row r="44">
      <c r="A44" s="50" t="n"/>
      <c r="B44" s="50" t="n"/>
    </row>
    <row r="45" ht="22" customHeight="1">
      <c r="A45" s="51" t="inlineStr">
        <is>
          <t>七、本周计算器、导出成绩表、打地鼠、作业</t>
        </is>
      </c>
    </row>
    <row r="46" ht="22" customHeight="1">
      <c r="A46" s="54" t="inlineStr">
        <is>
          <t>Q：「本周计算器」是什么？在哪里？</t>
        </is>
      </c>
    </row>
    <row r="47" ht="40" customHeight="1">
      <c r="A47" s="53" t="inlineStr">
        <is>
          <t>A：就是这个 Excel 最底下的一张表，点「本周计算器」进去。用处：把这一周课堂分、打地鼠折算分、收集表作业分加在一起，得出每个人本周多少分。不是另一个软件，也没有网页版。</t>
        </is>
      </c>
    </row>
    <row r="48" ht="22" customHeight="1">
      <c r="A48" s="54" t="inlineStr">
        <is>
          <t>Q：把 G 列复制成数值——G 列不是第5周吗？</t>
        </is>
      </c>
    </row>
    <row r="49" ht="40" customHeight="1">
      <c r="A49" s="53" t="inlineStr">
        <is>
          <t>A：两张表都有 G 列，不是同一列。「每周积分」的 G 列是第5周，不要动。「本周计算器」里表头黄色、写着「本周合计 ← 复制这一列」的那一列，才是要复制的。粘到「每周积分」正在记的那一周下面。现在是第1周就粘第1周。</t>
        </is>
      </c>
    </row>
    <row r="50" ht="22" customHeight="1">
      <c r="A50" s="54" t="inlineStr">
        <is>
          <t>Q：为什么导出是 CSV，不是 Excel？导出以后怎么用？</t>
        </is>
      </c>
    </row>
    <row r="51" ht="40" customHeight="1">
      <c r="A51" s="53" t="inlineStr">
        <is>
          <t>A：CSV 用 WPS 或 Excel 双击就能打开，格子和 Excel 表没有区别。浏览器不好直接生成 xlsx，所以下载下来是 .csv。打开后：点名器找到最下面「本节汇总」贴进计算器右边；打地鼠连表头贴进计算器中间。不要自己再抄一遍分数。</t>
        </is>
      </c>
    </row>
    <row r="52" ht="22" customHeight="1">
      <c r="A52" s="54" t="inlineStr">
        <is>
          <t>Q：打地鼠怎么评分？有时间限制吗？要等会计科目讲完才能用吗？</t>
        </is>
      </c>
    </row>
    <row r="53" ht="52" customHeight="1">
      <c r="A53" s="53" t="inlineStr">
        <is>
          <t>A：一局 12 题，每题大约 12 秒，超时算错过。答对加分、连击加得更多，答错扣游戏分。目的先是判断科目属于六大要素（资产/负债/权益/成本/收入/费用），不是一上来就做分录。第1周不用。第2-3周讲完会计要素，用「要素档」，当堂就能玩。第4周才上借贷方向。不要第2周就上分录档。课堂上 8～12 分钟，每组派代表上台。游戏里的 100 多分只用来当场喊「CFO 级」，记进周分时折成 2 或 5（打到 100 以上记 5，打了但不到 100 记 2）。</t>
        </is>
      </c>
    </row>
    <row r="54" ht="22" customHeight="1">
      <c r="A54" s="68" t="inlineStr">
        <is>
          <t>Q：作业布置什么？「项目最后一节收集表」「加分题」是什么？</t>
        </is>
      </c>
    </row>
    <row r="55" ht="72" customHeight="1">
      <c r="A55" s="69" t="inlineStr">
        <is>
          <t>A：先把两句话拆开。它们都不是你刚做的开学点单。「加分题」= 主文档里写了「加分题」的那几个暂停点（项目一是第5题、第14题这种），学生写在记录册上，你抽 3 人举册子看，写对 5 分。不要另做企业微信。「项目最后一节收集表」= 以前设想过项目上完再发一张 3～5 题的短表。仓库里还没有现成的。你现在不必做。项目结束看点名器积分、评谁表现好就行。书后课后题不要收。没有短表的那一周，计算器作业列空着。</t>
        </is>
      </c>
    </row>
    <row r="56">
      <c r="A56" s="50" t="n"/>
      <c r="B56" s="50" t="n"/>
    </row>
    <row r="57" ht="22" customHeight="1">
      <c r="A57" s="51" t="inlineStr">
        <is>
          <t>八、不想被画、免点名卡、上课玩手机</t>
        </is>
      </c>
    </row>
    <row r="58" ht="22" customHeight="1">
      <c r="A58" s="54" t="inlineStr">
        <is>
          <t>Q：内向的学生不想被画，要不要做一张「免画进课堂卡」，用积分换？</t>
        </is>
      </c>
    </row>
    <row r="59" ht="40" customHeight="1">
      <c r="A59" s="53" t="inlineStr">
        <is>
          <t>A：不要。不想被画，开学点单第16题勾「这次先不参加」就行，免费，不扣分。如果改成用积分换，内向学生等于花钱买不被画，变成惩罚。免点名卡仍然只干一件事：抽到他时说「用卡」，这次跳过，不举册子。两张卡不要混。想被画、和喜欢的卡通同框，才是奖励，给这周听讲、积分高的人。</t>
        </is>
      </c>
    </row>
    <row r="60" ht="22" customHeight="1">
      <c r="A60" s="54" t="inlineStr">
        <is>
          <t>Q：上课玩手机，第一次记录、第二次画进插画，行吗？收集表要改吗？</t>
        </is>
      </c>
    </row>
    <row r="61" ht="52" customHeight="1">
      <c r="A61" s="53" t="inlineStr">
        <is>
          <t>A：不行，太快，也和已经定好的规则打架。90-C00：累计三次才做惩罚图，做完先私下发给本人，本人说行才公开；从项目三之后才开始。第一次你自己本子记一笔，不公开、不画、不点名。第二次还是记。第三次才做图，而且画的是「玩手机这件事」，先给本人看。第16题勾了「这次先不参加」的人，惩罚图也不画他的脸。收集表不用改——玩手机不是问卷题，是你课上记的。</t>
        </is>
      </c>
    </row>
    <row r="62">
      <c r="A62" s="50" t="n"/>
      <c r="B62" s="50" t="n"/>
    </row>
    <row r="63" ht="22" customHeight="1">
      <c r="A63" s="51" t="inlineStr">
        <is>
          <t>九、分组标签、学委、出纳组要不要讲</t>
        </is>
      </c>
    </row>
    <row r="64" ht="22" customHeight="1">
      <c r="A64" s="54" t="inlineStr">
        <is>
          <t>Q：种子、零基础这些标签依据什么？学期一开始就有吗？我怎么没看到？</t>
        </is>
      </c>
    </row>
    <row r="65" ht="40" customHeight="1">
      <c r="A65" s="53" t="inlineStr">
        <is>
          <t>A：现在看不到是正常的。标签在「分组怎么做」的 F 列，问卷还没贴进「学生档案」时全是空的。贴完以后自动打：第2题选「还不错」→ 种子-数学；第1题选「完全没有」→ 零基础；第2题选「看到数字就头大」→ 需帮扶；其余 → 普通。不是你手写的，也不是学委评的。</t>
        </is>
      </c>
    </row>
    <row r="66" ht="22" customHeight="1">
      <c r="A66" s="54" t="inlineStr">
        <is>
          <t>Q：G 列怎么选？能不能让学委分？不涉及成绩应该不会作弊吧？</t>
        </is>
      </c>
    </row>
    <row r="67" ht="40" customHeight="1">
      <c r="A67" s="53" t="inlineStr">
        <is>
          <t>A：不要让学委分。学委更熟的是谁跟谁玩得好，不是谁数学还行、谁完全没学过。按熟人切组，差的会扎堆。你按 F 列标签填 G 列就行。学委只可以帮一件事：宿舍号有没有写对、同宿舍能不能坐一起（加分项，不是必须）。</t>
        </is>
      </c>
    </row>
    <row r="68" ht="22" customHeight="1">
      <c r="A68" s="54" t="inlineStr">
        <is>
          <t>Q：要告诉学生什么是出纳组吗？</t>
        </is>
      </c>
    </row>
    <row r="69" ht="40" customHeight="1">
      <c r="A69" s="53" t="inlineStr">
        <is>
          <t>A：说一句就行，不用专门讲岗位。桌签上已经写了「管钱的。库存现金、银行存款从这组过。」你说：你们这组叫出纳组，管钱的，以后填收付款凭证从你们这过。现在先坐一起。真正用上桌签的时候：打地鼠按组上台、填凭证组内互审、静默十五分讨论。点名加分、举册子还是个人的。</t>
        </is>
      </c>
    </row>
    <row r="70">
      <c r="A70" s="50" t="n"/>
      <c r="B70" s="50" t="n"/>
    </row>
    <row r="71">
      <c r="A71" s="50" t="n"/>
      <c r="B71" s="50" t="n"/>
    </row>
    <row r="72">
      <c r="A72" s="50" t="n"/>
      <c r="B72" s="50" t="n"/>
    </row>
    <row r="73">
      <c r="A73" s="50" t="n"/>
      <c r="B73" s="50" t="n"/>
    </row>
    <row r="74">
      <c r="A74" s="50" t="n"/>
      <c r="B74" s="50" t="n"/>
    </row>
    <row r="75">
      <c r="A75" s="50" t="n"/>
      <c r="B75" s="50" t="n"/>
    </row>
    <row r="76">
      <c r="A76" s="50" t="n"/>
      <c r="B76" s="50" t="n"/>
    </row>
    <row r="77">
      <c r="A77" s="50" t="n"/>
      <c r="B77" s="50" t="n"/>
    </row>
    <row r="78">
      <c r="A78" s="50" t="n"/>
      <c r="B78" s="50" t="n"/>
    </row>
    <row r="79">
      <c r="A79" s="50" t="n"/>
      <c r="B79" s="50" t="n"/>
    </row>
    <row r="80">
      <c r="A80" s="50" t="n"/>
      <c r="B80" s="50" t="n"/>
    </row>
  </sheetData>
  <mergeCells count="60">
    <mergeCell ref="A48:B48"/>
    <mergeCell ref="A30:B30"/>
    <mergeCell ref="A24:B24"/>
    <mergeCell ref="A15:B15"/>
    <mergeCell ref="A59:B59"/>
    <mergeCell ref="A64:B64"/>
    <mergeCell ref="A60:B60"/>
    <mergeCell ref="A11:B11"/>
    <mergeCell ref="A49:B49"/>
    <mergeCell ref="A51:B51"/>
    <mergeCell ref="A45:B45"/>
    <mergeCell ref="A36:B36"/>
    <mergeCell ref="A1:B1"/>
    <mergeCell ref="A61:B61"/>
    <mergeCell ref="A6:B6"/>
    <mergeCell ref="A69:B69"/>
    <mergeCell ref="A54:B54"/>
    <mergeCell ref="A7:B7"/>
    <mergeCell ref="A25:B25"/>
    <mergeCell ref="A65:B65"/>
    <mergeCell ref="A41:B41"/>
    <mergeCell ref="A37:B37"/>
    <mergeCell ref="A46:B46"/>
    <mergeCell ref="A66:B66"/>
    <mergeCell ref="A18:B18"/>
    <mergeCell ref="A27:B27"/>
    <mergeCell ref="A3:B3"/>
    <mergeCell ref="A55:B55"/>
    <mergeCell ref="A12:B12"/>
    <mergeCell ref="A50:B50"/>
    <mergeCell ref="A26:B26"/>
    <mergeCell ref="A21:B21"/>
    <mergeCell ref="A57:B57"/>
    <mergeCell ref="A33:B33"/>
    <mergeCell ref="A47:B47"/>
    <mergeCell ref="A5:B5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4:B4"/>
    <mergeCell ref="A38:B38"/>
    <mergeCell ref="A29:B29"/>
    <mergeCell ref="A52:B52"/>
    <mergeCell ref="A43:B43"/>
    <mergeCell ref="A19:B19"/>
    <mergeCell ref="A63:B63"/>
    <mergeCell ref="A68:B68"/>
    <mergeCell ref="A28:B28"/>
    <mergeCell ref="A13:B13"/>
    <mergeCell ref="A40:B40"/>
    <mergeCell ref="A9:B9"/>
    <mergeCell ref="A67:B67"/>
    <mergeCell ref="A58:B58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/>
  </sheetPr>
  <dimension ref="A1:AF52"/>
  <sheetViews>
    <sheetView zoomScale="90"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20" customWidth="1" min="6" max="6"/>
    <col width="26" customWidth="1" min="7" max="7"/>
    <col width="18" customWidth="1" min="8" max="8"/>
    <col width="2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20" customWidth="1" min="20" max="20"/>
    <col width="18" customWidth="1" min="21" max="21"/>
    <col width="20" customWidth="1" min="22" max="22"/>
    <col width="26" customWidth="1" min="23" max="23"/>
    <col width="26" customWidth="1" min="24" max="24"/>
    <col width="18" customWidth="1" min="25" max="25"/>
    <col width="18" customWidth="1" min="26" max="26"/>
    <col width="18" customWidth="1" min="27" max="27"/>
    <col width="16" customWidth="1" min="28" max="28"/>
    <col width="12" customWidth="1" min="29" max="29"/>
    <col width="16" customWidth="1" min="30" max="30"/>
    <col width="18" customWidth="1" min="31" max="31"/>
    <col width="16" customWidth="1" min="32" max="32"/>
  </cols>
  <sheetData>
    <row r="1" ht="56" customHeight="1">
      <c r="A1" s="4" t="inlineStr">
        <is>
          <t>白格＝粘贴/手填；蓝格＝有下拉；紫格＝公式，不要往紫格里粘。紫色「T_卡通形象文件名」出现 2401006.png，不是说电脑里已经有这张图——以后画头像时用这个名字保存，现在不用找。紫色「T_累计积分」现在是 0 正常：上课以后每周往「每周积分」贴一次才会涨。AA列签名只有纸质才手写，企业微信不建。 记分：打开「本周计算器」（本文件另一张表），复制「本周合计」那一列，粘到「每周积分」正在记的那一周。不要复制每周积分的 G 列（那是第5周）。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  <c r="O1" s="46" t="n"/>
      <c r="P1" s="46" t="n"/>
      <c r="Q1" s="46" t="n"/>
      <c r="R1" s="46" t="n"/>
      <c r="S1" s="46" t="n"/>
      <c r="T1" s="46" t="n"/>
      <c r="U1" s="46" t="n"/>
      <c r="V1" s="46" t="n"/>
      <c r="W1" s="46" t="n"/>
      <c r="X1" s="46" t="n"/>
      <c r="Y1" s="46" t="n"/>
      <c r="Z1" s="46" t="n"/>
      <c r="AA1" s="46" t="n"/>
      <c r="AB1" s="46" t="n"/>
      <c r="AC1" s="46" t="n"/>
      <c r="AD1" s="46" t="n"/>
      <c r="AE1" s="46" t="n"/>
      <c r="AF1" s="47" t="n"/>
    </row>
    <row r="2" ht="36" customHeight="1">
      <c r="A2" s="6" t="inlineStr">
        <is>
          <t>班级</t>
        </is>
      </c>
      <c r="B2" s="6" t="inlineStr">
        <is>
          <t>学号</t>
        </is>
      </c>
      <c r="C2" s="6" t="inlineStr">
        <is>
          <t>姓名</t>
        </is>
      </c>
      <c r="D2" s="6" t="inlineStr">
        <is>
          <t>宿舍</t>
        </is>
      </c>
      <c r="E2" s="6" t="inlineStr">
        <is>
          <t>1_以前接触过会计吗</t>
        </is>
      </c>
      <c r="F2" s="6" t="inlineStr">
        <is>
          <t>2_自己数学怎么样</t>
        </is>
      </c>
      <c r="G2" s="6" t="inlineStr">
        <is>
          <t>3_希望这门课怎么上</t>
        </is>
      </c>
      <c r="H2" s="6" t="inlineStr">
        <is>
          <t>4_最担心这门课什么</t>
        </is>
      </c>
      <c r="I2" s="6" t="inlineStr">
        <is>
          <t>5_上课最想看到哪个动画</t>
        </is>
      </c>
      <c r="J2" s="6" t="inlineStr">
        <is>
          <t>6_还喜欢哪个动画</t>
        </is>
      </c>
      <c r="K2" s="6" t="inlineStr">
        <is>
          <t>7_喜欢的明星或主播</t>
        </is>
      </c>
      <c r="L2" s="6" t="inlineStr">
        <is>
          <t>8_外号是什么谁起的</t>
        </is>
      </c>
      <c r="M2" s="6" t="inlineStr">
        <is>
          <t>9_口头禅</t>
        </is>
      </c>
      <c r="N2" s="6" t="inlineStr">
        <is>
          <t>10_小动作或小习惯</t>
        </is>
      </c>
      <c r="O2" s="6" t="inlineStr">
        <is>
          <t>11_最怕上课被问到什么</t>
        </is>
      </c>
      <c r="P2" s="6" t="inlineStr">
        <is>
          <t>12_平时最爱做什么</t>
        </is>
      </c>
      <c r="Q2" s="6" t="inlineStr">
        <is>
          <t>13_三个词形容自己</t>
        </is>
      </c>
      <c r="R2" s="6" t="inlineStr">
        <is>
          <t>14_请同桌用三个词形容你</t>
        </is>
      </c>
      <c r="S2" s="6" t="inlineStr">
        <is>
          <t>15_舍友觉得你最搞笑的事</t>
        </is>
      </c>
      <c r="T2" s="6" t="inlineStr">
        <is>
          <t>16_想不想和喜欢的卡通同框</t>
        </is>
      </c>
      <c r="U2" s="6" t="inlineStr">
        <is>
          <t>17_如果被画进去最想搞懂哪件事</t>
        </is>
      </c>
      <c r="V2" s="6" t="inlineStr">
        <is>
          <t>18_能用你的照片画卡通吗</t>
        </is>
      </c>
      <c r="W2" s="6" t="inlineStr">
        <is>
          <t>19_什么奖励对你有用</t>
        </is>
      </c>
      <c r="X2" s="6" t="inlineStr">
        <is>
          <t>20_哪种惩罚你能接受还觉得好玩</t>
        </is>
      </c>
      <c r="Y2" s="6" t="inlineStr">
        <is>
          <t>21_想对老师说的话</t>
        </is>
      </c>
      <c r="Z2" s="6" t="inlineStr">
        <is>
          <t>填表日期</t>
        </is>
      </c>
      <c r="AA2" s="6" t="inlineStr">
        <is>
          <t>本人签名</t>
        </is>
      </c>
      <c r="AB2" s="7" t="inlineStr">
        <is>
          <t>T_卡通形象文件名</t>
        </is>
      </c>
      <c r="AC2" s="7" t="inlineStr">
        <is>
          <t>T_累计积分</t>
        </is>
      </c>
      <c r="AD2" s="7" t="inlineStr">
        <is>
          <t>T_当前等级</t>
        </is>
      </c>
      <c r="AE2" s="7" t="inlineStr">
        <is>
          <t>T_红线_形象</t>
        </is>
      </c>
      <c r="AF2" s="7" t="inlineStr">
        <is>
          <t>T_备注</t>
        </is>
      </c>
    </row>
    <row r="3">
      <c r="A3" s="8" t="n"/>
      <c r="B3" s="8" t="n"/>
      <c r="C3" s="8" t="n"/>
      <c r="D3" s="8" t="n"/>
      <c r="E3" s="9" t="n"/>
      <c r="F3" s="9" t="n"/>
      <c r="G3" s="9" t="n"/>
      <c r="H3" s="8" t="n"/>
      <c r="I3" s="9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9" t="n"/>
      <c r="U3" s="8" t="n"/>
      <c r="V3" s="9" t="n"/>
      <c r="W3" s="9" t="n"/>
      <c r="X3" s="9" t="n"/>
      <c r="Y3" s="8" t="n"/>
      <c r="Z3" s="9" t="n"/>
      <c r="AA3" s="8" t="n"/>
      <c r="AB3" s="10">
        <f>IF(B3="","",B3&amp;".png")</f>
        <v/>
      </c>
      <c r="AC3" s="10">
        <f>IF(B3="","",IFERROR(INDEX(每周积分!$U:$U,MATCH(B3,每周积分!$A:$A,0)),0))</f>
        <v/>
      </c>
      <c r="AD3" s="10">
        <f>IF(AC3="","",IFERROR(INDEX(每周积分!$V:$V,MATCH(B3,每周积分!$A:$A,0)),""))</f>
        <v/>
      </c>
      <c r="AE3" s="10">
        <f>IF(TRIM(V3&amp;"")="","",IF(OR(TRIM(V3)="不要用我的照片",TRIM(V3)="只给我自己看"),"★形象不可公开",IF(TRIM(V3)="可以但别画太丑","只用奖励风格","可正常使用")))</f>
        <v/>
      </c>
      <c r="AF3" s="8" t="n"/>
    </row>
    <row r="4">
      <c r="A4" s="11" t="n"/>
      <c r="B4" s="11" t="n"/>
      <c r="C4" s="11" t="n"/>
      <c r="D4" s="11" t="n"/>
      <c r="E4" s="12" t="n"/>
      <c r="F4" s="12" t="n"/>
      <c r="G4" s="12" t="n"/>
      <c r="H4" s="11" t="n"/>
      <c r="I4" s="12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2" t="n"/>
      <c r="U4" s="11" t="n"/>
      <c r="V4" s="12" t="n"/>
      <c r="W4" s="12" t="n"/>
      <c r="X4" s="12" t="n"/>
      <c r="Y4" s="11" t="n"/>
      <c r="Z4" s="12" t="n"/>
      <c r="AA4" s="11" t="n"/>
      <c r="AB4" s="10">
        <f>IF(B4="","",B4&amp;".png")</f>
        <v/>
      </c>
      <c r="AC4" s="10">
        <f>IF(B4="","",IFERROR(INDEX(每周积分!$U:$U,MATCH(B4,每周积分!$A:$A,0)),0))</f>
        <v/>
      </c>
      <c r="AD4" s="10">
        <f>IF(AC4="","",IFERROR(INDEX(每周积分!$V:$V,MATCH(B4,每周积分!$A:$A,0)),""))</f>
        <v/>
      </c>
      <c r="AE4" s="10">
        <f>IF(TRIM(V4&amp;"")="","",IF(OR(TRIM(V4)="不要用我的照片",TRIM(V4)="只给我自己看"),"★形象不可公开",IF(TRIM(V4)="可以但别画太丑","只用奖励风格","可正常使用")))</f>
        <v/>
      </c>
      <c r="AF4" s="11" t="n"/>
    </row>
    <row r="5">
      <c r="A5" s="8" t="n"/>
      <c r="B5" s="8" t="n"/>
      <c r="C5" s="8" t="n"/>
      <c r="D5" s="8" t="n"/>
      <c r="E5" s="9" t="n"/>
      <c r="F5" s="9" t="n"/>
      <c r="G5" s="9" t="n"/>
      <c r="H5" s="8" t="n"/>
      <c r="I5" s="9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9" t="n"/>
      <c r="U5" s="8" t="n"/>
      <c r="V5" s="9" t="n"/>
      <c r="W5" s="9" t="n"/>
      <c r="X5" s="9" t="n"/>
      <c r="Y5" s="8" t="n"/>
      <c r="Z5" s="9" t="n"/>
      <c r="AA5" s="8" t="n"/>
      <c r="AB5" s="10">
        <f>IF(B5="","",B5&amp;".png")</f>
        <v/>
      </c>
      <c r="AC5" s="10">
        <f>IF(B5="","",IFERROR(INDEX(每周积分!$U:$U,MATCH(B5,每周积分!$A:$A,0)),0))</f>
        <v/>
      </c>
      <c r="AD5" s="10">
        <f>IF(AC5="","",IFERROR(INDEX(每周积分!$V:$V,MATCH(B5,每周积分!$A:$A,0)),""))</f>
        <v/>
      </c>
      <c r="AE5" s="10">
        <f>IF(TRIM(V5&amp;"")="","",IF(OR(TRIM(V5)="不要用我的照片",TRIM(V5)="只给我自己看"),"★形象不可公开",IF(TRIM(V5)="可以但别画太丑","只用奖励风格","可正常使用")))</f>
        <v/>
      </c>
      <c r="AF5" s="8" t="n"/>
    </row>
    <row r="6">
      <c r="A6" s="11" t="n"/>
      <c r="B6" s="11" t="n"/>
      <c r="C6" s="11" t="n"/>
      <c r="D6" s="11" t="n"/>
      <c r="E6" s="12" t="n"/>
      <c r="F6" s="12" t="n"/>
      <c r="G6" s="12" t="n"/>
      <c r="H6" s="11" t="n"/>
      <c r="I6" s="12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2" t="n"/>
      <c r="U6" s="11" t="n"/>
      <c r="V6" s="12" t="n"/>
      <c r="W6" s="12" t="n"/>
      <c r="X6" s="12" t="n"/>
      <c r="Y6" s="11" t="n"/>
      <c r="Z6" s="12" t="n"/>
      <c r="AA6" s="11" t="n"/>
      <c r="AB6" s="10">
        <f>IF(B6="","",B6&amp;".png")</f>
        <v/>
      </c>
      <c r="AC6" s="10">
        <f>IF(B6="","",IFERROR(INDEX(每周积分!$U:$U,MATCH(B6,每周积分!$A:$A,0)),0))</f>
        <v/>
      </c>
      <c r="AD6" s="10">
        <f>IF(AC6="","",IFERROR(INDEX(每周积分!$V:$V,MATCH(B6,每周积分!$A:$A,0)),""))</f>
        <v/>
      </c>
      <c r="AE6" s="10">
        <f>IF(TRIM(V6&amp;"")="","",IF(OR(TRIM(V6)="不要用我的照片",TRIM(V6)="只给我自己看"),"★形象不可公开",IF(TRIM(V6)="可以但别画太丑","只用奖励风格","可正常使用")))</f>
        <v/>
      </c>
      <c r="AF6" s="11" t="n"/>
    </row>
    <row r="7">
      <c r="A7" s="8" t="n"/>
      <c r="B7" s="8" t="n"/>
      <c r="C7" s="8" t="n"/>
      <c r="D7" s="8" t="n"/>
      <c r="E7" s="9" t="n"/>
      <c r="F7" s="9" t="n"/>
      <c r="G7" s="9" t="n"/>
      <c r="H7" s="8" t="n"/>
      <c r="I7" s="9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9" t="n"/>
      <c r="U7" s="8" t="n"/>
      <c r="V7" s="9" t="n"/>
      <c r="W7" s="9" t="n"/>
      <c r="X7" s="9" t="n"/>
      <c r="Y7" s="8" t="n"/>
      <c r="Z7" s="9" t="n"/>
      <c r="AA7" s="8" t="n"/>
      <c r="AB7" s="10">
        <f>IF(B7="","",B7&amp;".png")</f>
        <v/>
      </c>
      <c r="AC7" s="10">
        <f>IF(B7="","",IFERROR(INDEX(每周积分!$U:$U,MATCH(B7,每周积分!$A:$A,0)),0))</f>
        <v/>
      </c>
      <c r="AD7" s="10">
        <f>IF(AC7="","",IFERROR(INDEX(每周积分!$V:$V,MATCH(B7,每周积分!$A:$A,0)),""))</f>
        <v/>
      </c>
      <c r="AE7" s="10">
        <f>IF(TRIM(V7&amp;"")="","",IF(OR(TRIM(V7)="不要用我的照片",TRIM(V7)="只给我自己看"),"★形象不可公开",IF(TRIM(V7)="可以但别画太丑","只用奖励风格","可正常使用")))</f>
        <v/>
      </c>
      <c r="AF7" s="8" t="n"/>
    </row>
    <row r="8">
      <c r="A8" s="11" t="n"/>
      <c r="B8" s="11" t="n"/>
      <c r="C8" s="11" t="n"/>
      <c r="D8" s="11" t="n"/>
      <c r="E8" s="12" t="n"/>
      <c r="F8" s="12" t="n"/>
      <c r="G8" s="12" t="n"/>
      <c r="H8" s="11" t="n"/>
      <c r="I8" s="12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2" t="n"/>
      <c r="U8" s="11" t="n"/>
      <c r="V8" s="12" t="n"/>
      <c r="W8" s="12" t="n"/>
      <c r="X8" s="12" t="n"/>
      <c r="Y8" s="11" t="n"/>
      <c r="Z8" s="12" t="n"/>
      <c r="AA8" s="11" t="n"/>
      <c r="AB8" s="10">
        <f>IF(B8="","",B8&amp;".png")</f>
        <v/>
      </c>
      <c r="AC8" s="10">
        <f>IF(B8="","",IFERROR(INDEX(每周积分!$U:$U,MATCH(B8,每周积分!$A:$A,0)),0))</f>
        <v/>
      </c>
      <c r="AD8" s="10">
        <f>IF(AC8="","",IFERROR(INDEX(每周积分!$V:$V,MATCH(B8,每周积分!$A:$A,0)),""))</f>
        <v/>
      </c>
      <c r="AE8" s="10">
        <f>IF(TRIM(V8&amp;"")="","",IF(OR(TRIM(V8)="不要用我的照片",TRIM(V8)="只给我自己看"),"★形象不可公开",IF(TRIM(V8)="可以但别画太丑","只用奖励风格","可正常使用")))</f>
        <v/>
      </c>
      <c r="AF8" s="11" t="n"/>
    </row>
    <row r="9">
      <c r="A9" s="8" t="n"/>
      <c r="B9" s="8" t="n"/>
      <c r="C9" s="8" t="n"/>
      <c r="D9" s="8" t="n"/>
      <c r="E9" s="9" t="n"/>
      <c r="F9" s="9" t="n"/>
      <c r="G9" s="9" t="n"/>
      <c r="H9" s="8" t="n"/>
      <c r="I9" s="9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9" t="n"/>
      <c r="U9" s="8" t="n"/>
      <c r="V9" s="9" t="n"/>
      <c r="W9" s="9" t="n"/>
      <c r="X9" s="9" t="n"/>
      <c r="Y9" s="8" t="n"/>
      <c r="Z9" s="9" t="n"/>
      <c r="AA9" s="8" t="n"/>
      <c r="AB9" s="10">
        <f>IF(B9="","",B9&amp;".png")</f>
        <v/>
      </c>
      <c r="AC9" s="10">
        <f>IF(B9="","",IFERROR(INDEX(每周积分!$U:$U,MATCH(B9,每周积分!$A:$A,0)),0))</f>
        <v/>
      </c>
      <c r="AD9" s="10">
        <f>IF(AC9="","",IFERROR(INDEX(每周积分!$V:$V,MATCH(B9,每周积分!$A:$A,0)),""))</f>
        <v/>
      </c>
      <c r="AE9" s="10">
        <f>IF(TRIM(V9&amp;"")="","",IF(OR(TRIM(V9)="不要用我的照片",TRIM(V9)="只给我自己看"),"★形象不可公开",IF(TRIM(V9)="可以但别画太丑","只用奖励风格","可正常使用")))</f>
        <v/>
      </c>
      <c r="AF9" s="8" t="n"/>
    </row>
    <row r="10">
      <c r="A10" s="11" t="n"/>
      <c r="B10" s="11" t="n"/>
      <c r="C10" s="11" t="n"/>
      <c r="D10" s="11" t="n"/>
      <c r="E10" s="12" t="n"/>
      <c r="F10" s="12" t="n"/>
      <c r="G10" s="12" t="n"/>
      <c r="H10" s="11" t="n"/>
      <c r="I10" s="12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2" t="n"/>
      <c r="U10" s="11" t="n"/>
      <c r="V10" s="12" t="n"/>
      <c r="W10" s="12" t="n"/>
      <c r="X10" s="12" t="n"/>
      <c r="Y10" s="11" t="n"/>
      <c r="Z10" s="12" t="n"/>
      <c r="AA10" s="11" t="n"/>
      <c r="AB10" s="10">
        <f>IF(B10="","",B10&amp;".png")</f>
        <v/>
      </c>
      <c r="AC10" s="10">
        <f>IF(B10="","",IFERROR(INDEX(每周积分!$U:$U,MATCH(B10,每周积分!$A:$A,0)),0))</f>
        <v/>
      </c>
      <c r="AD10" s="10">
        <f>IF(AC10="","",IFERROR(INDEX(每周积分!$V:$V,MATCH(B10,每周积分!$A:$A,0)),""))</f>
        <v/>
      </c>
      <c r="AE10" s="10">
        <f>IF(TRIM(V10&amp;"")="","",IF(OR(TRIM(V10)="不要用我的照片",TRIM(V10)="只给我自己看"),"★形象不可公开",IF(TRIM(V10)="可以但别画太丑","只用奖励风格","可正常使用")))</f>
        <v/>
      </c>
      <c r="AF10" s="11" t="n"/>
    </row>
    <row r="11">
      <c r="A11" s="8" t="n"/>
      <c r="B11" s="8" t="n"/>
      <c r="C11" s="8" t="n"/>
      <c r="D11" s="8" t="n"/>
      <c r="E11" s="9" t="n"/>
      <c r="F11" s="9" t="n"/>
      <c r="G11" s="9" t="n"/>
      <c r="H11" s="8" t="n"/>
      <c r="I11" s="9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9" t="n"/>
      <c r="U11" s="8" t="n"/>
      <c r="V11" s="9" t="n"/>
      <c r="W11" s="9" t="n"/>
      <c r="X11" s="9" t="n"/>
      <c r="Y11" s="8" t="n"/>
      <c r="Z11" s="9" t="n"/>
      <c r="AA11" s="8" t="n"/>
      <c r="AB11" s="10">
        <f>IF(B11="","",B11&amp;".png")</f>
        <v/>
      </c>
      <c r="AC11" s="10">
        <f>IF(B11="","",IFERROR(INDEX(每周积分!$U:$U,MATCH(B11,每周积分!$A:$A,0)),0))</f>
        <v/>
      </c>
      <c r="AD11" s="10">
        <f>IF(AC11="","",IFERROR(INDEX(每周积分!$V:$V,MATCH(B11,每周积分!$A:$A,0)),""))</f>
        <v/>
      </c>
      <c r="AE11" s="10">
        <f>IF(TRIM(V11&amp;"")="","",IF(OR(TRIM(V11)="不要用我的照片",TRIM(V11)="只给我自己看"),"★形象不可公开",IF(TRIM(V11)="可以但别画太丑","只用奖励风格","可正常使用")))</f>
        <v/>
      </c>
      <c r="AF11" s="8" t="n"/>
    </row>
    <row r="12">
      <c r="A12" s="11" t="n"/>
      <c r="B12" s="11" t="n"/>
      <c r="C12" s="11" t="n"/>
      <c r="D12" s="11" t="n"/>
      <c r="E12" s="12" t="n"/>
      <c r="F12" s="12" t="n"/>
      <c r="G12" s="12" t="n"/>
      <c r="H12" s="11" t="n"/>
      <c r="I12" s="12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2" t="n"/>
      <c r="U12" s="11" t="n"/>
      <c r="V12" s="12" t="n"/>
      <c r="W12" s="12" t="n"/>
      <c r="X12" s="12" t="n"/>
      <c r="Y12" s="11" t="n"/>
      <c r="Z12" s="12" t="n"/>
      <c r="AA12" s="11" t="n"/>
      <c r="AB12" s="10">
        <f>IF(B12="","",B12&amp;".png")</f>
        <v/>
      </c>
      <c r="AC12" s="10">
        <f>IF(B12="","",IFERROR(INDEX(每周积分!$U:$U,MATCH(B12,每周积分!$A:$A,0)),0))</f>
        <v/>
      </c>
      <c r="AD12" s="10">
        <f>IF(AC12="","",IFERROR(INDEX(每周积分!$V:$V,MATCH(B12,每周积分!$A:$A,0)),""))</f>
        <v/>
      </c>
      <c r="AE12" s="10">
        <f>IF(TRIM(V12&amp;"")="","",IF(OR(TRIM(V12)="不要用我的照片",TRIM(V12)="只给我自己看"),"★形象不可公开",IF(TRIM(V12)="可以但别画太丑","只用奖励风格","可正常使用")))</f>
        <v/>
      </c>
      <c r="AF12" s="11" t="n"/>
    </row>
    <row r="13">
      <c r="A13" s="8" t="n"/>
      <c r="B13" s="8" t="n"/>
      <c r="C13" s="8" t="n"/>
      <c r="D13" s="8" t="n"/>
      <c r="E13" s="9" t="n"/>
      <c r="F13" s="9" t="n"/>
      <c r="G13" s="9" t="n"/>
      <c r="H13" s="8" t="n"/>
      <c r="I13" s="9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9" t="n"/>
      <c r="U13" s="8" t="n"/>
      <c r="V13" s="9" t="n"/>
      <c r="W13" s="9" t="n"/>
      <c r="X13" s="9" t="n"/>
      <c r="Y13" s="8" t="n"/>
      <c r="Z13" s="9" t="n"/>
      <c r="AA13" s="8" t="n"/>
      <c r="AB13" s="10">
        <f>IF(B13="","",B13&amp;".png")</f>
        <v/>
      </c>
      <c r="AC13" s="10">
        <f>IF(B13="","",IFERROR(INDEX(每周积分!$U:$U,MATCH(B13,每周积分!$A:$A,0)),0))</f>
        <v/>
      </c>
      <c r="AD13" s="10">
        <f>IF(AC13="","",IFERROR(INDEX(每周积分!$V:$V,MATCH(B13,每周积分!$A:$A,0)),""))</f>
        <v/>
      </c>
      <c r="AE13" s="10">
        <f>IF(TRIM(V13&amp;"")="","",IF(OR(TRIM(V13)="不要用我的照片",TRIM(V13)="只给我自己看"),"★形象不可公开",IF(TRIM(V13)="可以但别画太丑","只用奖励风格","可正常使用")))</f>
        <v/>
      </c>
      <c r="AF13" s="8" t="n"/>
    </row>
    <row r="14">
      <c r="A14" s="11" t="n"/>
      <c r="B14" s="11" t="n"/>
      <c r="C14" s="11" t="n"/>
      <c r="D14" s="11" t="n"/>
      <c r="E14" s="12" t="n"/>
      <c r="F14" s="12" t="n"/>
      <c r="G14" s="12" t="n"/>
      <c r="H14" s="11" t="n"/>
      <c r="I14" s="12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2" t="n"/>
      <c r="U14" s="11" t="n"/>
      <c r="V14" s="12" t="n"/>
      <c r="W14" s="12" t="n"/>
      <c r="X14" s="12" t="n"/>
      <c r="Y14" s="11" t="n"/>
      <c r="Z14" s="12" t="n"/>
      <c r="AA14" s="11" t="n"/>
      <c r="AB14" s="10">
        <f>IF(B14="","",B14&amp;".png")</f>
        <v/>
      </c>
      <c r="AC14" s="10">
        <f>IF(B14="","",IFERROR(INDEX(每周积分!$U:$U,MATCH(B14,每周积分!$A:$A,0)),0))</f>
        <v/>
      </c>
      <c r="AD14" s="10">
        <f>IF(AC14="","",IFERROR(INDEX(每周积分!$V:$V,MATCH(B14,每周积分!$A:$A,0)),""))</f>
        <v/>
      </c>
      <c r="AE14" s="10">
        <f>IF(TRIM(V14&amp;"")="","",IF(OR(TRIM(V14)="不要用我的照片",TRIM(V14)="只给我自己看"),"★形象不可公开",IF(TRIM(V14)="可以但别画太丑","只用奖励风格","可正常使用")))</f>
        <v/>
      </c>
      <c r="AF14" s="11" t="n"/>
    </row>
    <row r="15">
      <c r="A15" s="8" t="n"/>
      <c r="B15" s="8" t="n"/>
      <c r="C15" s="8" t="n"/>
      <c r="D15" s="8" t="n"/>
      <c r="E15" s="9" t="n"/>
      <c r="F15" s="9" t="n"/>
      <c r="G15" s="9" t="n"/>
      <c r="H15" s="8" t="n"/>
      <c r="I15" s="9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9" t="n"/>
      <c r="U15" s="8" t="n"/>
      <c r="V15" s="9" t="n"/>
      <c r="W15" s="9" t="n"/>
      <c r="X15" s="9" t="n"/>
      <c r="Y15" s="8" t="n"/>
      <c r="Z15" s="9" t="n"/>
      <c r="AA15" s="8" t="n"/>
      <c r="AB15" s="10">
        <f>IF(B15="","",B15&amp;".png")</f>
        <v/>
      </c>
      <c r="AC15" s="10">
        <f>IF(B15="","",IFERROR(INDEX(每周积分!$U:$U,MATCH(B15,每周积分!$A:$A,0)),0))</f>
        <v/>
      </c>
      <c r="AD15" s="10">
        <f>IF(AC15="","",IFERROR(INDEX(每周积分!$V:$V,MATCH(B15,每周积分!$A:$A,0)),""))</f>
        <v/>
      </c>
      <c r="AE15" s="10">
        <f>IF(TRIM(V15&amp;"")="","",IF(OR(TRIM(V15)="不要用我的照片",TRIM(V15)="只给我自己看"),"★形象不可公开",IF(TRIM(V15)="可以但别画太丑","只用奖励风格","可正常使用")))</f>
        <v/>
      </c>
      <c r="AF15" s="8" t="n"/>
    </row>
    <row r="16">
      <c r="A16" s="11" t="n"/>
      <c r="B16" s="11" t="n"/>
      <c r="C16" s="11" t="n"/>
      <c r="D16" s="11" t="n"/>
      <c r="E16" s="12" t="n"/>
      <c r="F16" s="12" t="n"/>
      <c r="G16" s="12" t="n"/>
      <c r="H16" s="11" t="n"/>
      <c r="I16" s="12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2" t="n"/>
      <c r="U16" s="11" t="n"/>
      <c r="V16" s="12" t="n"/>
      <c r="W16" s="12" t="n"/>
      <c r="X16" s="12" t="n"/>
      <c r="Y16" s="11" t="n"/>
      <c r="Z16" s="12" t="n"/>
      <c r="AA16" s="11" t="n"/>
      <c r="AB16" s="10">
        <f>IF(B16="","",B16&amp;".png")</f>
        <v/>
      </c>
      <c r="AC16" s="10">
        <f>IF(B16="","",IFERROR(INDEX(每周积分!$U:$U,MATCH(B16,每周积分!$A:$A,0)),0))</f>
        <v/>
      </c>
      <c r="AD16" s="10">
        <f>IF(AC16="","",IFERROR(INDEX(每周积分!$V:$V,MATCH(B16,每周积分!$A:$A,0)),""))</f>
        <v/>
      </c>
      <c r="AE16" s="10">
        <f>IF(TRIM(V16&amp;"")="","",IF(OR(TRIM(V16)="不要用我的照片",TRIM(V16)="只给我自己看"),"★形象不可公开",IF(TRIM(V16)="可以但别画太丑","只用奖励风格","可正常使用")))</f>
        <v/>
      </c>
      <c r="AF16" s="11" t="n"/>
    </row>
    <row r="17">
      <c r="A17" s="8" t="n"/>
      <c r="B17" s="8" t="n"/>
      <c r="C17" s="8" t="n"/>
      <c r="D17" s="8" t="n"/>
      <c r="E17" s="9" t="n"/>
      <c r="F17" s="9" t="n"/>
      <c r="G17" s="9" t="n"/>
      <c r="H17" s="8" t="n"/>
      <c r="I17" s="9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9" t="n"/>
      <c r="U17" s="8" t="n"/>
      <c r="V17" s="9" t="n"/>
      <c r="W17" s="9" t="n"/>
      <c r="X17" s="9" t="n"/>
      <c r="Y17" s="8" t="n"/>
      <c r="Z17" s="9" t="n"/>
      <c r="AA17" s="8" t="n"/>
      <c r="AB17" s="10">
        <f>IF(B17="","",B17&amp;".png")</f>
        <v/>
      </c>
      <c r="AC17" s="10">
        <f>IF(B17="","",IFERROR(INDEX(每周积分!$U:$U,MATCH(B17,每周积分!$A:$A,0)),0))</f>
        <v/>
      </c>
      <c r="AD17" s="10">
        <f>IF(AC17="","",IFERROR(INDEX(每周积分!$V:$V,MATCH(B17,每周积分!$A:$A,0)),""))</f>
        <v/>
      </c>
      <c r="AE17" s="10">
        <f>IF(TRIM(V17&amp;"")="","",IF(OR(TRIM(V17)="不要用我的照片",TRIM(V17)="只给我自己看"),"★形象不可公开",IF(TRIM(V17)="可以但别画太丑","只用奖励风格","可正常使用")))</f>
        <v/>
      </c>
      <c r="AF17" s="8" t="n"/>
    </row>
    <row r="18">
      <c r="A18" s="11" t="n"/>
      <c r="B18" s="11" t="n"/>
      <c r="C18" s="11" t="n"/>
      <c r="D18" s="11" t="n"/>
      <c r="E18" s="12" t="n"/>
      <c r="F18" s="12" t="n"/>
      <c r="G18" s="12" t="n"/>
      <c r="H18" s="11" t="n"/>
      <c r="I18" s="12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2" t="n"/>
      <c r="U18" s="11" t="n"/>
      <c r="V18" s="12" t="n"/>
      <c r="W18" s="12" t="n"/>
      <c r="X18" s="12" t="n"/>
      <c r="Y18" s="11" t="n"/>
      <c r="Z18" s="12" t="n"/>
      <c r="AA18" s="11" t="n"/>
      <c r="AB18" s="10">
        <f>IF(B18="","",B18&amp;".png")</f>
        <v/>
      </c>
      <c r="AC18" s="10">
        <f>IF(B18="","",IFERROR(INDEX(每周积分!$U:$U,MATCH(B18,每周积分!$A:$A,0)),0))</f>
        <v/>
      </c>
      <c r="AD18" s="10">
        <f>IF(AC18="","",IFERROR(INDEX(每周积分!$V:$V,MATCH(B18,每周积分!$A:$A,0)),""))</f>
        <v/>
      </c>
      <c r="AE18" s="10">
        <f>IF(TRIM(V18&amp;"")="","",IF(OR(TRIM(V18)="不要用我的照片",TRIM(V18)="只给我自己看"),"★形象不可公开",IF(TRIM(V18)="可以但别画太丑","只用奖励风格","可正常使用")))</f>
        <v/>
      </c>
      <c r="AF18" s="11" t="n"/>
    </row>
    <row r="19">
      <c r="A19" s="8" t="n"/>
      <c r="B19" s="8" t="n"/>
      <c r="C19" s="8" t="n"/>
      <c r="D19" s="8" t="n"/>
      <c r="E19" s="9" t="n"/>
      <c r="F19" s="9" t="n"/>
      <c r="G19" s="9" t="n"/>
      <c r="H19" s="8" t="n"/>
      <c r="I19" s="9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9" t="n"/>
      <c r="U19" s="8" t="n"/>
      <c r="V19" s="9" t="n"/>
      <c r="W19" s="9" t="n"/>
      <c r="X19" s="9" t="n"/>
      <c r="Y19" s="8" t="n"/>
      <c r="Z19" s="9" t="n"/>
      <c r="AA19" s="8" t="n"/>
      <c r="AB19" s="10">
        <f>IF(B19="","",B19&amp;".png")</f>
        <v/>
      </c>
      <c r="AC19" s="10">
        <f>IF(B19="","",IFERROR(INDEX(每周积分!$U:$U,MATCH(B19,每周积分!$A:$A,0)),0))</f>
        <v/>
      </c>
      <c r="AD19" s="10">
        <f>IF(AC19="","",IFERROR(INDEX(每周积分!$V:$V,MATCH(B19,每周积分!$A:$A,0)),""))</f>
        <v/>
      </c>
      <c r="AE19" s="10">
        <f>IF(TRIM(V19&amp;"")="","",IF(OR(TRIM(V19)="不要用我的照片",TRIM(V19)="只给我自己看"),"★形象不可公开",IF(TRIM(V19)="可以但别画太丑","只用奖励风格","可正常使用")))</f>
        <v/>
      </c>
      <c r="AF19" s="8" t="n"/>
    </row>
    <row r="20">
      <c r="A20" s="11" t="n"/>
      <c r="B20" s="11" t="n"/>
      <c r="C20" s="11" t="n"/>
      <c r="D20" s="11" t="n"/>
      <c r="E20" s="12" t="n"/>
      <c r="F20" s="12" t="n"/>
      <c r="G20" s="12" t="n"/>
      <c r="H20" s="11" t="n"/>
      <c r="I20" s="12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2" t="n"/>
      <c r="U20" s="11" t="n"/>
      <c r="V20" s="12" t="n"/>
      <c r="W20" s="12" t="n"/>
      <c r="X20" s="12" t="n"/>
      <c r="Y20" s="11" t="n"/>
      <c r="Z20" s="12" t="n"/>
      <c r="AA20" s="11" t="n"/>
      <c r="AB20" s="10">
        <f>IF(B20="","",B20&amp;".png")</f>
        <v/>
      </c>
      <c r="AC20" s="10">
        <f>IF(B20="","",IFERROR(INDEX(每周积分!$U:$U,MATCH(B20,每周积分!$A:$A,0)),0))</f>
        <v/>
      </c>
      <c r="AD20" s="10">
        <f>IF(AC20="","",IFERROR(INDEX(每周积分!$V:$V,MATCH(B20,每周积分!$A:$A,0)),""))</f>
        <v/>
      </c>
      <c r="AE20" s="10">
        <f>IF(TRIM(V20&amp;"")="","",IF(OR(TRIM(V20)="不要用我的照片",TRIM(V20)="只给我自己看"),"★形象不可公开",IF(TRIM(V20)="可以但别画太丑","只用奖励风格","可正常使用")))</f>
        <v/>
      </c>
      <c r="AF20" s="11" t="n"/>
    </row>
    <row r="21">
      <c r="A21" s="8" t="n"/>
      <c r="B21" s="8" t="n"/>
      <c r="C21" s="8" t="n"/>
      <c r="D21" s="8" t="n"/>
      <c r="E21" s="9" t="n"/>
      <c r="F21" s="9" t="n"/>
      <c r="G21" s="9" t="n"/>
      <c r="H21" s="8" t="n"/>
      <c r="I21" s="9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9" t="n"/>
      <c r="U21" s="8" t="n"/>
      <c r="V21" s="9" t="n"/>
      <c r="W21" s="9" t="n"/>
      <c r="X21" s="9" t="n"/>
      <c r="Y21" s="8" t="n"/>
      <c r="Z21" s="9" t="n"/>
      <c r="AA21" s="8" t="n"/>
      <c r="AB21" s="10">
        <f>IF(B21="","",B21&amp;".png")</f>
        <v/>
      </c>
      <c r="AC21" s="10">
        <f>IF(B21="","",IFERROR(INDEX(每周积分!$U:$U,MATCH(B21,每周积分!$A:$A,0)),0))</f>
        <v/>
      </c>
      <c r="AD21" s="10">
        <f>IF(AC21="","",IFERROR(INDEX(每周积分!$V:$V,MATCH(B21,每周积分!$A:$A,0)),""))</f>
        <v/>
      </c>
      <c r="AE21" s="10">
        <f>IF(TRIM(V21&amp;"")="","",IF(OR(TRIM(V21)="不要用我的照片",TRIM(V21)="只给我自己看"),"★形象不可公开",IF(TRIM(V21)="可以但别画太丑","只用奖励风格","可正常使用")))</f>
        <v/>
      </c>
      <c r="AF21" s="8" t="n"/>
    </row>
    <row r="22">
      <c r="A22" s="11" t="n"/>
      <c r="B22" s="11" t="n"/>
      <c r="C22" s="11" t="n"/>
      <c r="D22" s="11" t="n"/>
      <c r="E22" s="12" t="n"/>
      <c r="F22" s="12" t="n"/>
      <c r="G22" s="12" t="n"/>
      <c r="H22" s="11" t="n"/>
      <c r="I22" s="12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2" t="n"/>
      <c r="U22" s="11" t="n"/>
      <c r="V22" s="12" t="n"/>
      <c r="W22" s="12" t="n"/>
      <c r="X22" s="12" t="n"/>
      <c r="Y22" s="11" t="n"/>
      <c r="Z22" s="12" t="n"/>
      <c r="AA22" s="11" t="n"/>
      <c r="AB22" s="10">
        <f>IF(B22="","",B22&amp;".png")</f>
        <v/>
      </c>
      <c r="AC22" s="10">
        <f>IF(B22="","",IFERROR(INDEX(每周积分!$U:$U,MATCH(B22,每周积分!$A:$A,0)),0))</f>
        <v/>
      </c>
      <c r="AD22" s="10">
        <f>IF(AC22="","",IFERROR(INDEX(每周积分!$V:$V,MATCH(B22,每周积分!$A:$A,0)),""))</f>
        <v/>
      </c>
      <c r="AE22" s="10">
        <f>IF(TRIM(V22&amp;"")="","",IF(OR(TRIM(V22)="不要用我的照片",TRIM(V22)="只给我自己看"),"★形象不可公开",IF(TRIM(V22)="可以但别画太丑","只用奖励风格","可正常使用")))</f>
        <v/>
      </c>
      <c r="AF22" s="11" t="n"/>
    </row>
    <row r="23">
      <c r="A23" s="8" t="n"/>
      <c r="B23" s="8" t="n"/>
      <c r="C23" s="8" t="n"/>
      <c r="D23" s="8" t="n"/>
      <c r="E23" s="9" t="n"/>
      <c r="F23" s="9" t="n"/>
      <c r="G23" s="9" t="n"/>
      <c r="H23" s="8" t="n"/>
      <c r="I23" s="9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9" t="n"/>
      <c r="U23" s="8" t="n"/>
      <c r="V23" s="9" t="n"/>
      <c r="W23" s="9" t="n"/>
      <c r="X23" s="9" t="n"/>
      <c r="Y23" s="8" t="n"/>
      <c r="Z23" s="9" t="n"/>
      <c r="AA23" s="8" t="n"/>
      <c r="AB23" s="10">
        <f>IF(B23="","",B23&amp;".png")</f>
        <v/>
      </c>
      <c r="AC23" s="10">
        <f>IF(B23="","",IFERROR(INDEX(每周积分!$U:$U,MATCH(B23,每周积分!$A:$A,0)),0))</f>
        <v/>
      </c>
      <c r="AD23" s="10">
        <f>IF(AC23="","",IFERROR(INDEX(每周积分!$V:$V,MATCH(B23,每周积分!$A:$A,0)),""))</f>
        <v/>
      </c>
      <c r="AE23" s="10">
        <f>IF(TRIM(V23&amp;"")="","",IF(OR(TRIM(V23)="不要用我的照片",TRIM(V23)="只给我自己看"),"★形象不可公开",IF(TRIM(V23)="可以但别画太丑","只用奖励风格","可正常使用")))</f>
        <v/>
      </c>
      <c r="AF23" s="8" t="n"/>
    </row>
    <row r="24">
      <c r="A24" s="11" t="n"/>
      <c r="B24" s="11" t="n"/>
      <c r="C24" s="11" t="n"/>
      <c r="D24" s="11" t="n"/>
      <c r="E24" s="12" t="n"/>
      <c r="F24" s="12" t="n"/>
      <c r="G24" s="12" t="n"/>
      <c r="H24" s="11" t="n"/>
      <c r="I24" s="12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2" t="n"/>
      <c r="U24" s="11" t="n"/>
      <c r="V24" s="12" t="n"/>
      <c r="W24" s="12" t="n"/>
      <c r="X24" s="12" t="n"/>
      <c r="Y24" s="11" t="n"/>
      <c r="Z24" s="12" t="n"/>
      <c r="AA24" s="11" t="n"/>
      <c r="AB24" s="10">
        <f>IF(B24="","",B24&amp;".png")</f>
        <v/>
      </c>
      <c r="AC24" s="10">
        <f>IF(B24="","",IFERROR(INDEX(每周积分!$U:$U,MATCH(B24,每周积分!$A:$A,0)),0))</f>
        <v/>
      </c>
      <c r="AD24" s="10">
        <f>IF(AC24="","",IFERROR(INDEX(每周积分!$V:$V,MATCH(B24,每周积分!$A:$A,0)),""))</f>
        <v/>
      </c>
      <c r="AE24" s="10">
        <f>IF(TRIM(V24&amp;"")="","",IF(OR(TRIM(V24)="不要用我的照片",TRIM(V24)="只给我自己看"),"★形象不可公开",IF(TRIM(V24)="可以但别画太丑","只用奖励风格","可正常使用")))</f>
        <v/>
      </c>
      <c r="AF24" s="11" t="n"/>
    </row>
    <row r="25">
      <c r="A25" s="8" t="n"/>
      <c r="B25" s="8" t="n"/>
      <c r="C25" s="8" t="n"/>
      <c r="D25" s="8" t="n"/>
      <c r="E25" s="9" t="n"/>
      <c r="F25" s="9" t="n"/>
      <c r="G25" s="9" t="n"/>
      <c r="H25" s="8" t="n"/>
      <c r="I25" s="9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9" t="n"/>
      <c r="U25" s="8" t="n"/>
      <c r="V25" s="9" t="n"/>
      <c r="W25" s="9" t="n"/>
      <c r="X25" s="9" t="n"/>
      <c r="Y25" s="8" t="n"/>
      <c r="Z25" s="9" t="n"/>
      <c r="AA25" s="8" t="n"/>
      <c r="AB25" s="10">
        <f>IF(B25="","",B25&amp;".png")</f>
        <v/>
      </c>
      <c r="AC25" s="10">
        <f>IF(B25="","",IFERROR(INDEX(每周积分!$U:$U,MATCH(B25,每周积分!$A:$A,0)),0))</f>
        <v/>
      </c>
      <c r="AD25" s="10">
        <f>IF(AC25="","",IFERROR(INDEX(每周积分!$V:$V,MATCH(B25,每周积分!$A:$A,0)),""))</f>
        <v/>
      </c>
      <c r="AE25" s="10">
        <f>IF(TRIM(V25&amp;"")="","",IF(OR(TRIM(V25)="不要用我的照片",TRIM(V25)="只给我自己看"),"★形象不可公开",IF(TRIM(V25)="可以但别画太丑","只用奖励风格","可正常使用")))</f>
        <v/>
      </c>
      <c r="AF25" s="8" t="n"/>
    </row>
    <row r="26">
      <c r="A26" s="11" t="n"/>
      <c r="B26" s="11" t="n"/>
      <c r="C26" s="11" t="n"/>
      <c r="D26" s="11" t="n"/>
      <c r="E26" s="12" t="n"/>
      <c r="F26" s="12" t="n"/>
      <c r="G26" s="12" t="n"/>
      <c r="H26" s="11" t="n"/>
      <c r="I26" s="12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2" t="n"/>
      <c r="U26" s="11" t="n"/>
      <c r="V26" s="12" t="n"/>
      <c r="W26" s="12" t="n"/>
      <c r="X26" s="12" t="n"/>
      <c r="Y26" s="11" t="n"/>
      <c r="Z26" s="12" t="n"/>
      <c r="AA26" s="11" t="n"/>
      <c r="AB26" s="10">
        <f>IF(B26="","",B26&amp;".png")</f>
        <v/>
      </c>
      <c r="AC26" s="10">
        <f>IF(B26="","",IFERROR(INDEX(每周积分!$U:$U,MATCH(B26,每周积分!$A:$A,0)),0))</f>
        <v/>
      </c>
      <c r="AD26" s="10">
        <f>IF(AC26="","",IFERROR(INDEX(每周积分!$V:$V,MATCH(B26,每周积分!$A:$A,0)),""))</f>
        <v/>
      </c>
      <c r="AE26" s="10">
        <f>IF(TRIM(V26&amp;"")="","",IF(OR(TRIM(V26)="不要用我的照片",TRIM(V26)="只给我自己看"),"★形象不可公开",IF(TRIM(V26)="可以但别画太丑","只用奖励风格","可正常使用")))</f>
        <v/>
      </c>
      <c r="AF26" s="11" t="n"/>
    </row>
    <row r="27">
      <c r="A27" s="8" t="n"/>
      <c r="B27" s="8" t="n"/>
      <c r="C27" s="8" t="n"/>
      <c r="D27" s="8" t="n"/>
      <c r="E27" s="9" t="n"/>
      <c r="F27" s="9" t="n"/>
      <c r="G27" s="9" t="n"/>
      <c r="H27" s="8" t="n"/>
      <c r="I27" s="9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9" t="n"/>
      <c r="U27" s="8" t="n"/>
      <c r="V27" s="9" t="n"/>
      <c r="W27" s="9" t="n"/>
      <c r="X27" s="9" t="n"/>
      <c r="Y27" s="8" t="n"/>
      <c r="Z27" s="9" t="n"/>
      <c r="AA27" s="8" t="n"/>
      <c r="AB27" s="10">
        <f>IF(B27="","",B27&amp;".png")</f>
        <v/>
      </c>
      <c r="AC27" s="10">
        <f>IF(B27="","",IFERROR(INDEX(每周积分!$U:$U,MATCH(B27,每周积分!$A:$A,0)),0))</f>
        <v/>
      </c>
      <c r="AD27" s="10">
        <f>IF(AC27="","",IFERROR(INDEX(每周积分!$V:$V,MATCH(B27,每周积分!$A:$A,0)),""))</f>
        <v/>
      </c>
      <c r="AE27" s="10">
        <f>IF(TRIM(V27&amp;"")="","",IF(OR(TRIM(V27)="不要用我的照片",TRIM(V27)="只给我自己看"),"★形象不可公开",IF(TRIM(V27)="可以但别画太丑","只用奖励风格","可正常使用")))</f>
        <v/>
      </c>
      <c r="AF27" s="8" t="n"/>
    </row>
    <row r="28">
      <c r="A28" s="11" t="n"/>
      <c r="B28" s="11" t="n"/>
      <c r="C28" s="11" t="n"/>
      <c r="D28" s="11" t="n"/>
      <c r="E28" s="12" t="n"/>
      <c r="F28" s="12" t="n"/>
      <c r="G28" s="12" t="n"/>
      <c r="H28" s="11" t="n"/>
      <c r="I28" s="12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2" t="n"/>
      <c r="U28" s="11" t="n"/>
      <c r="V28" s="12" t="n"/>
      <c r="W28" s="12" t="n"/>
      <c r="X28" s="12" t="n"/>
      <c r="Y28" s="11" t="n"/>
      <c r="Z28" s="12" t="n"/>
      <c r="AA28" s="11" t="n"/>
      <c r="AB28" s="10">
        <f>IF(B28="","",B28&amp;".png")</f>
        <v/>
      </c>
      <c r="AC28" s="10">
        <f>IF(B28="","",IFERROR(INDEX(每周积分!$U:$U,MATCH(B28,每周积分!$A:$A,0)),0))</f>
        <v/>
      </c>
      <c r="AD28" s="10">
        <f>IF(AC28="","",IFERROR(INDEX(每周积分!$V:$V,MATCH(B28,每周积分!$A:$A,0)),""))</f>
        <v/>
      </c>
      <c r="AE28" s="10">
        <f>IF(TRIM(V28&amp;"")="","",IF(OR(TRIM(V28)="不要用我的照片",TRIM(V28)="只给我自己看"),"★形象不可公开",IF(TRIM(V28)="可以但别画太丑","只用奖励风格","可正常使用")))</f>
        <v/>
      </c>
      <c r="AF28" s="11" t="n"/>
    </row>
    <row r="29">
      <c r="A29" s="8" t="n"/>
      <c r="B29" s="8" t="n"/>
      <c r="C29" s="8" t="n"/>
      <c r="D29" s="8" t="n"/>
      <c r="E29" s="9" t="n"/>
      <c r="F29" s="9" t="n"/>
      <c r="G29" s="9" t="n"/>
      <c r="H29" s="8" t="n"/>
      <c r="I29" s="9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9" t="n"/>
      <c r="U29" s="8" t="n"/>
      <c r="V29" s="9" t="n"/>
      <c r="W29" s="9" t="n"/>
      <c r="X29" s="9" t="n"/>
      <c r="Y29" s="8" t="n"/>
      <c r="Z29" s="9" t="n"/>
      <c r="AA29" s="8" t="n"/>
      <c r="AB29" s="10">
        <f>IF(B29="","",B29&amp;".png")</f>
        <v/>
      </c>
      <c r="AC29" s="10">
        <f>IF(B29="","",IFERROR(INDEX(每周积分!$U:$U,MATCH(B29,每周积分!$A:$A,0)),0))</f>
        <v/>
      </c>
      <c r="AD29" s="10">
        <f>IF(AC29="","",IFERROR(INDEX(每周积分!$V:$V,MATCH(B29,每周积分!$A:$A,0)),""))</f>
        <v/>
      </c>
      <c r="AE29" s="10">
        <f>IF(TRIM(V29&amp;"")="","",IF(OR(TRIM(V29)="不要用我的照片",TRIM(V29)="只给我自己看"),"★形象不可公开",IF(TRIM(V29)="可以但别画太丑","只用奖励风格","可正常使用")))</f>
        <v/>
      </c>
      <c r="AF29" s="8" t="n"/>
    </row>
    <row r="30">
      <c r="A30" s="11" t="n"/>
      <c r="B30" s="11" t="n"/>
      <c r="C30" s="11" t="n"/>
      <c r="D30" s="11" t="n"/>
      <c r="E30" s="12" t="n"/>
      <c r="F30" s="12" t="n"/>
      <c r="G30" s="12" t="n"/>
      <c r="H30" s="11" t="n"/>
      <c r="I30" s="12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2" t="n"/>
      <c r="U30" s="11" t="n"/>
      <c r="V30" s="12" t="n"/>
      <c r="W30" s="12" t="n"/>
      <c r="X30" s="12" t="n"/>
      <c r="Y30" s="11" t="n"/>
      <c r="Z30" s="12" t="n"/>
      <c r="AA30" s="11" t="n"/>
      <c r="AB30" s="10">
        <f>IF(B30="","",B30&amp;".png")</f>
        <v/>
      </c>
      <c r="AC30" s="10">
        <f>IF(B30="","",IFERROR(INDEX(每周积分!$U:$U,MATCH(B30,每周积分!$A:$A,0)),0))</f>
        <v/>
      </c>
      <c r="AD30" s="10">
        <f>IF(AC30="","",IFERROR(INDEX(每周积分!$V:$V,MATCH(B30,每周积分!$A:$A,0)),""))</f>
        <v/>
      </c>
      <c r="AE30" s="10">
        <f>IF(TRIM(V30&amp;"")="","",IF(OR(TRIM(V30)="不要用我的照片",TRIM(V30)="只给我自己看"),"★形象不可公开",IF(TRIM(V30)="可以但别画太丑","只用奖励风格","可正常使用")))</f>
        <v/>
      </c>
      <c r="AF30" s="11" t="n"/>
    </row>
    <row r="31">
      <c r="A31" s="8" t="n"/>
      <c r="B31" s="8" t="n"/>
      <c r="C31" s="8" t="n"/>
      <c r="D31" s="8" t="n"/>
      <c r="E31" s="9" t="n"/>
      <c r="F31" s="9" t="n"/>
      <c r="G31" s="9" t="n"/>
      <c r="H31" s="8" t="n"/>
      <c r="I31" s="9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9" t="n"/>
      <c r="U31" s="8" t="n"/>
      <c r="V31" s="9" t="n"/>
      <c r="W31" s="9" t="n"/>
      <c r="X31" s="9" t="n"/>
      <c r="Y31" s="8" t="n"/>
      <c r="Z31" s="9" t="n"/>
      <c r="AA31" s="8" t="n"/>
      <c r="AB31" s="10">
        <f>IF(B31="","",B31&amp;".png")</f>
        <v/>
      </c>
      <c r="AC31" s="10">
        <f>IF(B31="","",IFERROR(INDEX(每周积分!$U:$U,MATCH(B31,每周积分!$A:$A,0)),0))</f>
        <v/>
      </c>
      <c r="AD31" s="10">
        <f>IF(AC31="","",IFERROR(INDEX(每周积分!$V:$V,MATCH(B31,每周积分!$A:$A,0)),""))</f>
        <v/>
      </c>
      <c r="AE31" s="10">
        <f>IF(TRIM(V31&amp;"")="","",IF(OR(TRIM(V31)="不要用我的照片",TRIM(V31)="只给我自己看"),"★形象不可公开",IF(TRIM(V31)="可以但别画太丑","只用奖励风格","可正常使用")))</f>
        <v/>
      </c>
      <c r="AF31" s="8" t="n"/>
    </row>
    <row r="32">
      <c r="A32" s="11" t="n"/>
      <c r="B32" s="11" t="n"/>
      <c r="C32" s="11" t="n"/>
      <c r="D32" s="11" t="n"/>
      <c r="E32" s="12" t="n"/>
      <c r="F32" s="12" t="n"/>
      <c r="G32" s="12" t="n"/>
      <c r="H32" s="11" t="n"/>
      <c r="I32" s="12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2" t="n"/>
      <c r="U32" s="11" t="n"/>
      <c r="V32" s="12" t="n"/>
      <c r="W32" s="12" t="n"/>
      <c r="X32" s="12" t="n"/>
      <c r="Y32" s="11" t="n"/>
      <c r="Z32" s="12" t="n"/>
      <c r="AA32" s="11" t="n"/>
      <c r="AB32" s="10">
        <f>IF(B32="","",B32&amp;".png")</f>
        <v/>
      </c>
      <c r="AC32" s="10">
        <f>IF(B32="","",IFERROR(INDEX(每周积分!$U:$U,MATCH(B32,每周积分!$A:$A,0)),0))</f>
        <v/>
      </c>
      <c r="AD32" s="10">
        <f>IF(AC32="","",IFERROR(INDEX(每周积分!$V:$V,MATCH(B32,每周积分!$A:$A,0)),""))</f>
        <v/>
      </c>
      <c r="AE32" s="10">
        <f>IF(TRIM(V32&amp;"")="","",IF(OR(TRIM(V32)="不要用我的照片",TRIM(V32)="只给我自己看"),"★形象不可公开",IF(TRIM(V32)="可以但别画太丑","只用奖励风格","可正常使用")))</f>
        <v/>
      </c>
      <c r="AF32" s="11" t="n"/>
    </row>
    <row r="33">
      <c r="A33" s="8" t="n"/>
      <c r="B33" s="8" t="n"/>
      <c r="C33" s="8" t="n"/>
      <c r="D33" s="8" t="n"/>
      <c r="E33" s="9" t="n"/>
      <c r="F33" s="9" t="n"/>
      <c r="G33" s="9" t="n"/>
      <c r="H33" s="8" t="n"/>
      <c r="I33" s="9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9" t="n"/>
      <c r="U33" s="8" t="n"/>
      <c r="V33" s="9" t="n"/>
      <c r="W33" s="9" t="n"/>
      <c r="X33" s="9" t="n"/>
      <c r="Y33" s="8" t="n"/>
      <c r="Z33" s="9" t="n"/>
      <c r="AA33" s="8" t="n"/>
      <c r="AB33" s="10">
        <f>IF(B33="","",B33&amp;".png")</f>
        <v/>
      </c>
      <c r="AC33" s="10">
        <f>IF(B33="","",IFERROR(INDEX(每周积分!$U:$U,MATCH(B33,每周积分!$A:$A,0)),0))</f>
        <v/>
      </c>
      <c r="AD33" s="10">
        <f>IF(AC33="","",IFERROR(INDEX(每周积分!$V:$V,MATCH(B33,每周积分!$A:$A,0)),""))</f>
        <v/>
      </c>
      <c r="AE33" s="10">
        <f>IF(TRIM(V33&amp;"")="","",IF(OR(TRIM(V33)="不要用我的照片",TRIM(V33)="只给我自己看"),"★形象不可公开",IF(TRIM(V33)="可以但别画太丑","只用奖励风格","可正常使用")))</f>
        <v/>
      </c>
      <c r="AF33" s="8" t="n"/>
    </row>
    <row r="34">
      <c r="A34" s="11" t="n"/>
      <c r="B34" s="11" t="n"/>
      <c r="C34" s="11" t="n"/>
      <c r="D34" s="11" t="n"/>
      <c r="E34" s="12" t="n"/>
      <c r="F34" s="12" t="n"/>
      <c r="G34" s="12" t="n"/>
      <c r="H34" s="11" t="n"/>
      <c r="I34" s="12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2" t="n"/>
      <c r="U34" s="11" t="n"/>
      <c r="V34" s="12" t="n"/>
      <c r="W34" s="12" t="n"/>
      <c r="X34" s="12" t="n"/>
      <c r="Y34" s="11" t="n"/>
      <c r="Z34" s="12" t="n"/>
      <c r="AA34" s="11" t="n"/>
      <c r="AB34" s="10">
        <f>IF(B34="","",B34&amp;".png")</f>
        <v/>
      </c>
      <c r="AC34" s="10">
        <f>IF(B34="","",IFERROR(INDEX(每周积分!$U:$U,MATCH(B34,每周积分!$A:$A,0)),0))</f>
        <v/>
      </c>
      <c r="AD34" s="10">
        <f>IF(AC34="","",IFERROR(INDEX(每周积分!$V:$V,MATCH(B34,每周积分!$A:$A,0)),""))</f>
        <v/>
      </c>
      <c r="AE34" s="10">
        <f>IF(TRIM(V34&amp;"")="","",IF(OR(TRIM(V34)="不要用我的照片",TRIM(V34)="只给我自己看"),"★形象不可公开",IF(TRIM(V34)="可以但别画太丑","只用奖励风格","可正常使用")))</f>
        <v/>
      </c>
      <c r="AF34" s="11" t="n"/>
    </row>
    <row r="35">
      <c r="A35" s="8" t="n"/>
      <c r="B35" s="8" t="n"/>
      <c r="C35" s="8" t="n"/>
      <c r="D35" s="8" t="n"/>
      <c r="E35" s="9" t="n"/>
      <c r="F35" s="9" t="n"/>
      <c r="G35" s="9" t="n"/>
      <c r="H35" s="8" t="n"/>
      <c r="I35" s="9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9" t="n"/>
      <c r="U35" s="8" t="n"/>
      <c r="V35" s="9" t="n"/>
      <c r="W35" s="9" t="n"/>
      <c r="X35" s="9" t="n"/>
      <c r="Y35" s="8" t="n"/>
      <c r="Z35" s="9" t="n"/>
      <c r="AA35" s="8" t="n"/>
      <c r="AB35" s="10">
        <f>IF(B35="","",B35&amp;".png")</f>
        <v/>
      </c>
      <c r="AC35" s="10">
        <f>IF(B35="","",IFERROR(INDEX(每周积分!$U:$U,MATCH(B35,每周积分!$A:$A,0)),0))</f>
        <v/>
      </c>
      <c r="AD35" s="10">
        <f>IF(AC35="","",IFERROR(INDEX(每周积分!$V:$V,MATCH(B35,每周积分!$A:$A,0)),""))</f>
        <v/>
      </c>
      <c r="AE35" s="10">
        <f>IF(TRIM(V35&amp;"")="","",IF(OR(TRIM(V35)="不要用我的照片",TRIM(V35)="只给我自己看"),"★形象不可公开",IF(TRIM(V35)="可以但别画太丑","只用奖励风格","可正常使用")))</f>
        <v/>
      </c>
      <c r="AF35" s="8" t="n"/>
    </row>
    <row r="36">
      <c r="A36" s="11" t="n"/>
      <c r="B36" s="11" t="n"/>
      <c r="C36" s="11" t="n"/>
      <c r="D36" s="11" t="n"/>
      <c r="E36" s="12" t="n"/>
      <c r="F36" s="12" t="n"/>
      <c r="G36" s="12" t="n"/>
      <c r="H36" s="11" t="n"/>
      <c r="I36" s="12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2" t="n"/>
      <c r="U36" s="11" t="n"/>
      <c r="V36" s="12" t="n"/>
      <c r="W36" s="12" t="n"/>
      <c r="X36" s="12" t="n"/>
      <c r="Y36" s="11" t="n"/>
      <c r="Z36" s="12" t="n"/>
      <c r="AA36" s="11" t="n"/>
      <c r="AB36" s="10">
        <f>IF(B36="","",B36&amp;".png")</f>
        <v/>
      </c>
      <c r="AC36" s="10">
        <f>IF(B36="","",IFERROR(INDEX(每周积分!$U:$U,MATCH(B36,每周积分!$A:$A,0)),0))</f>
        <v/>
      </c>
      <c r="AD36" s="10">
        <f>IF(AC36="","",IFERROR(INDEX(每周积分!$V:$V,MATCH(B36,每周积分!$A:$A,0)),""))</f>
        <v/>
      </c>
      <c r="AE36" s="10">
        <f>IF(TRIM(V36&amp;"")="","",IF(OR(TRIM(V36)="不要用我的照片",TRIM(V36)="只给我自己看"),"★形象不可公开",IF(TRIM(V36)="可以但别画太丑","只用奖励风格","可正常使用")))</f>
        <v/>
      </c>
      <c r="AF36" s="11" t="n"/>
    </row>
    <row r="37">
      <c r="A37" s="8" t="n"/>
      <c r="B37" s="8" t="n"/>
      <c r="C37" s="8" t="n"/>
      <c r="D37" s="8" t="n"/>
      <c r="E37" s="9" t="n"/>
      <c r="F37" s="9" t="n"/>
      <c r="G37" s="9" t="n"/>
      <c r="H37" s="8" t="n"/>
      <c r="I37" s="9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9" t="n"/>
      <c r="U37" s="8" t="n"/>
      <c r="V37" s="9" t="n"/>
      <c r="W37" s="9" t="n"/>
      <c r="X37" s="9" t="n"/>
      <c r="Y37" s="8" t="n"/>
      <c r="Z37" s="9" t="n"/>
      <c r="AA37" s="8" t="n"/>
      <c r="AB37" s="10">
        <f>IF(B37="","",B37&amp;".png")</f>
        <v/>
      </c>
      <c r="AC37" s="10">
        <f>IF(B37="","",IFERROR(INDEX(每周积分!$U:$U,MATCH(B37,每周积分!$A:$A,0)),0))</f>
        <v/>
      </c>
      <c r="AD37" s="10">
        <f>IF(AC37="","",IFERROR(INDEX(每周积分!$V:$V,MATCH(B37,每周积分!$A:$A,0)),""))</f>
        <v/>
      </c>
      <c r="AE37" s="10">
        <f>IF(TRIM(V37&amp;"")="","",IF(OR(TRIM(V37)="不要用我的照片",TRIM(V37)="只给我自己看"),"★形象不可公开",IF(TRIM(V37)="可以但别画太丑","只用奖励风格","可正常使用")))</f>
        <v/>
      </c>
      <c r="AF37" s="8" t="n"/>
    </row>
    <row r="38">
      <c r="A38" s="11" t="n"/>
      <c r="B38" s="11" t="n"/>
      <c r="C38" s="11" t="n"/>
      <c r="D38" s="11" t="n"/>
      <c r="E38" s="12" t="n"/>
      <c r="F38" s="12" t="n"/>
      <c r="G38" s="12" t="n"/>
      <c r="H38" s="11" t="n"/>
      <c r="I38" s="12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2" t="n"/>
      <c r="U38" s="11" t="n"/>
      <c r="V38" s="12" t="n"/>
      <c r="W38" s="12" t="n"/>
      <c r="X38" s="12" t="n"/>
      <c r="Y38" s="11" t="n"/>
      <c r="Z38" s="12" t="n"/>
      <c r="AA38" s="11" t="n"/>
      <c r="AB38" s="10">
        <f>IF(B38="","",B38&amp;".png")</f>
        <v/>
      </c>
      <c r="AC38" s="10">
        <f>IF(B38="","",IFERROR(INDEX(每周积分!$U:$U,MATCH(B38,每周积分!$A:$A,0)),0))</f>
        <v/>
      </c>
      <c r="AD38" s="10">
        <f>IF(AC38="","",IFERROR(INDEX(每周积分!$V:$V,MATCH(B38,每周积分!$A:$A,0)),""))</f>
        <v/>
      </c>
      <c r="AE38" s="10">
        <f>IF(TRIM(V38&amp;"")="","",IF(OR(TRIM(V38)="不要用我的照片",TRIM(V38)="只给我自己看"),"★形象不可公开",IF(TRIM(V38)="可以但别画太丑","只用奖励风格","可正常使用")))</f>
        <v/>
      </c>
      <c r="AF38" s="11" t="n"/>
    </row>
    <row r="39">
      <c r="A39" s="8" t="n"/>
      <c r="B39" s="8" t="n"/>
      <c r="C39" s="8" t="n"/>
      <c r="D39" s="8" t="n"/>
      <c r="E39" s="9" t="n"/>
      <c r="F39" s="9" t="n"/>
      <c r="G39" s="9" t="n"/>
      <c r="H39" s="8" t="n"/>
      <c r="I39" s="9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9" t="n"/>
      <c r="U39" s="8" t="n"/>
      <c r="V39" s="9" t="n"/>
      <c r="W39" s="9" t="n"/>
      <c r="X39" s="9" t="n"/>
      <c r="Y39" s="8" t="n"/>
      <c r="Z39" s="9" t="n"/>
      <c r="AA39" s="8" t="n"/>
      <c r="AB39" s="10">
        <f>IF(B39="","",B39&amp;".png")</f>
        <v/>
      </c>
      <c r="AC39" s="10">
        <f>IF(B39="","",IFERROR(INDEX(每周积分!$U:$U,MATCH(B39,每周积分!$A:$A,0)),0))</f>
        <v/>
      </c>
      <c r="AD39" s="10">
        <f>IF(AC39="","",IFERROR(INDEX(每周积分!$V:$V,MATCH(B39,每周积分!$A:$A,0)),""))</f>
        <v/>
      </c>
      <c r="AE39" s="10">
        <f>IF(TRIM(V39&amp;"")="","",IF(OR(TRIM(V39)="不要用我的照片",TRIM(V39)="只给我自己看"),"★形象不可公开",IF(TRIM(V39)="可以但别画太丑","只用奖励风格","可正常使用")))</f>
        <v/>
      </c>
      <c r="AF39" s="8" t="n"/>
    </row>
    <row r="40">
      <c r="A40" s="11" t="n"/>
      <c r="B40" s="11" t="n"/>
      <c r="C40" s="11" t="n"/>
      <c r="D40" s="11" t="n"/>
      <c r="E40" s="12" t="n"/>
      <c r="F40" s="12" t="n"/>
      <c r="G40" s="12" t="n"/>
      <c r="H40" s="11" t="n"/>
      <c r="I40" s="12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2" t="n"/>
      <c r="U40" s="11" t="n"/>
      <c r="V40" s="12" t="n"/>
      <c r="W40" s="12" t="n"/>
      <c r="X40" s="12" t="n"/>
      <c r="Y40" s="11" t="n"/>
      <c r="Z40" s="12" t="n"/>
      <c r="AA40" s="11" t="n"/>
      <c r="AB40" s="10">
        <f>IF(B40="","",B40&amp;".png")</f>
        <v/>
      </c>
      <c r="AC40" s="10">
        <f>IF(B40="","",IFERROR(INDEX(每周积分!$U:$U,MATCH(B40,每周积分!$A:$A,0)),0))</f>
        <v/>
      </c>
      <c r="AD40" s="10">
        <f>IF(AC40="","",IFERROR(INDEX(每周积分!$V:$V,MATCH(B40,每周积分!$A:$A,0)),""))</f>
        <v/>
      </c>
      <c r="AE40" s="10">
        <f>IF(TRIM(V40&amp;"")="","",IF(OR(TRIM(V40)="不要用我的照片",TRIM(V40)="只给我自己看"),"★形象不可公开",IF(TRIM(V40)="可以但别画太丑","只用奖励风格","可正常使用")))</f>
        <v/>
      </c>
      <c r="AF40" s="11" t="n"/>
    </row>
    <row r="41">
      <c r="A41" s="8" t="n"/>
      <c r="B41" s="8" t="n"/>
      <c r="C41" s="8" t="n"/>
      <c r="D41" s="8" t="n"/>
      <c r="E41" s="9" t="n"/>
      <c r="F41" s="9" t="n"/>
      <c r="G41" s="9" t="n"/>
      <c r="H41" s="8" t="n"/>
      <c r="I41" s="9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9" t="n"/>
      <c r="U41" s="8" t="n"/>
      <c r="V41" s="9" t="n"/>
      <c r="W41" s="9" t="n"/>
      <c r="X41" s="9" t="n"/>
      <c r="Y41" s="8" t="n"/>
      <c r="Z41" s="9" t="n"/>
      <c r="AA41" s="8" t="n"/>
      <c r="AB41" s="10">
        <f>IF(B41="","",B41&amp;".png")</f>
        <v/>
      </c>
      <c r="AC41" s="10">
        <f>IF(B41="","",IFERROR(INDEX(每周积分!$U:$U,MATCH(B41,每周积分!$A:$A,0)),0))</f>
        <v/>
      </c>
      <c r="AD41" s="10">
        <f>IF(AC41="","",IFERROR(INDEX(每周积分!$V:$V,MATCH(B41,每周积分!$A:$A,0)),""))</f>
        <v/>
      </c>
      <c r="AE41" s="10">
        <f>IF(TRIM(V41&amp;"")="","",IF(OR(TRIM(V41)="不要用我的照片",TRIM(V41)="只给我自己看"),"★形象不可公开",IF(TRIM(V41)="可以但别画太丑","只用奖励风格","可正常使用")))</f>
        <v/>
      </c>
      <c r="AF41" s="8" t="n"/>
    </row>
    <row r="42">
      <c r="A42" s="11" t="n"/>
      <c r="B42" s="11" t="n"/>
      <c r="C42" s="11" t="n"/>
      <c r="D42" s="11" t="n"/>
      <c r="E42" s="12" t="n"/>
      <c r="F42" s="12" t="n"/>
      <c r="G42" s="12" t="n"/>
      <c r="H42" s="11" t="n"/>
      <c r="I42" s="12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2" t="n"/>
      <c r="U42" s="11" t="n"/>
      <c r="V42" s="12" t="n"/>
      <c r="W42" s="12" t="n"/>
      <c r="X42" s="12" t="n"/>
      <c r="Y42" s="11" t="n"/>
      <c r="Z42" s="12" t="n"/>
      <c r="AA42" s="11" t="n"/>
      <c r="AB42" s="10">
        <f>IF(B42="","",B42&amp;".png")</f>
        <v/>
      </c>
      <c r="AC42" s="10">
        <f>IF(B42="","",IFERROR(INDEX(每周积分!$U:$U,MATCH(B42,每周积分!$A:$A,0)),0))</f>
        <v/>
      </c>
      <c r="AD42" s="10">
        <f>IF(AC42="","",IFERROR(INDEX(每周积分!$V:$V,MATCH(B42,每周积分!$A:$A,0)),""))</f>
        <v/>
      </c>
      <c r="AE42" s="10">
        <f>IF(TRIM(V42&amp;"")="","",IF(OR(TRIM(V42)="不要用我的照片",TRIM(V42)="只给我自己看"),"★形象不可公开",IF(TRIM(V42)="可以但别画太丑","只用奖励风格","可正常使用")))</f>
        <v/>
      </c>
      <c r="AF42" s="11" t="n"/>
    </row>
    <row r="43">
      <c r="A43" s="8" t="n"/>
      <c r="B43" s="8" t="n"/>
      <c r="C43" s="8" t="n"/>
      <c r="D43" s="8" t="n"/>
      <c r="E43" s="9" t="n"/>
      <c r="F43" s="9" t="n"/>
      <c r="G43" s="9" t="n"/>
      <c r="H43" s="8" t="n"/>
      <c r="I43" s="9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9" t="n"/>
      <c r="U43" s="8" t="n"/>
      <c r="V43" s="9" t="n"/>
      <c r="W43" s="9" t="n"/>
      <c r="X43" s="9" t="n"/>
      <c r="Y43" s="8" t="n"/>
      <c r="Z43" s="9" t="n"/>
      <c r="AA43" s="8" t="n"/>
      <c r="AB43" s="10">
        <f>IF(B43="","",B43&amp;".png")</f>
        <v/>
      </c>
      <c r="AC43" s="10">
        <f>IF(B43="","",IFERROR(INDEX(每周积分!$U:$U,MATCH(B43,每周积分!$A:$A,0)),0))</f>
        <v/>
      </c>
      <c r="AD43" s="10">
        <f>IF(AC43="","",IFERROR(INDEX(每周积分!$V:$V,MATCH(B43,每周积分!$A:$A,0)),""))</f>
        <v/>
      </c>
      <c r="AE43" s="10">
        <f>IF(TRIM(V43&amp;"")="","",IF(OR(TRIM(V43)="不要用我的照片",TRIM(V43)="只给我自己看"),"★形象不可公开",IF(TRIM(V43)="可以但别画太丑","只用奖励风格","可正常使用")))</f>
        <v/>
      </c>
      <c r="AF43" s="8" t="n"/>
    </row>
    <row r="44">
      <c r="A44" s="11" t="n"/>
      <c r="B44" s="11" t="n"/>
      <c r="C44" s="11" t="n"/>
      <c r="D44" s="11" t="n"/>
      <c r="E44" s="12" t="n"/>
      <c r="F44" s="12" t="n"/>
      <c r="G44" s="12" t="n"/>
      <c r="H44" s="11" t="n"/>
      <c r="I44" s="12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2" t="n"/>
      <c r="U44" s="11" t="n"/>
      <c r="V44" s="12" t="n"/>
      <c r="W44" s="12" t="n"/>
      <c r="X44" s="12" t="n"/>
      <c r="Y44" s="11" t="n"/>
      <c r="Z44" s="12" t="n"/>
      <c r="AA44" s="11" t="n"/>
      <c r="AB44" s="10">
        <f>IF(B44="","",B44&amp;".png")</f>
        <v/>
      </c>
      <c r="AC44" s="10">
        <f>IF(B44="","",IFERROR(INDEX(每周积分!$U:$U,MATCH(B44,每周积分!$A:$A,0)),0))</f>
        <v/>
      </c>
      <c r="AD44" s="10">
        <f>IF(AC44="","",IFERROR(INDEX(每周积分!$V:$V,MATCH(B44,每周积分!$A:$A,0)),""))</f>
        <v/>
      </c>
      <c r="AE44" s="10">
        <f>IF(TRIM(V44&amp;"")="","",IF(OR(TRIM(V44)="不要用我的照片",TRIM(V44)="只给我自己看"),"★形象不可公开",IF(TRIM(V44)="可以但别画太丑","只用奖励风格","可正常使用")))</f>
        <v/>
      </c>
      <c r="AF44" s="11" t="n"/>
    </row>
    <row r="45">
      <c r="A45" s="8" t="n"/>
      <c r="B45" s="8" t="n"/>
      <c r="C45" s="8" t="n"/>
      <c r="D45" s="8" t="n"/>
      <c r="E45" s="9" t="n"/>
      <c r="F45" s="9" t="n"/>
      <c r="G45" s="9" t="n"/>
      <c r="H45" s="8" t="n"/>
      <c r="I45" s="9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9" t="n"/>
      <c r="U45" s="8" t="n"/>
      <c r="V45" s="9" t="n"/>
      <c r="W45" s="9" t="n"/>
      <c r="X45" s="9" t="n"/>
      <c r="Y45" s="8" t="n"/>
      <c r="Z45" s="9" t="n"/>
      <c r="AA45" s="8" t="n"/>
      <c r="AB45" s="10">
        <f>IF(B45="","",B45&amp;".png")</f>
        <v/>
      </c>
      <c r="AC45" s="10">
        <f>IF(B45="","",IFERROR(INDEX(每周积分!$U:$U,MATCH(B45,每周积分!$A:$A,0)),0))</f>
        <v/>
      </c>
      <c r="AD45" s="10">
        <f>IF(AC45="","",IFERROR(INDEX(每周积分!$V:$V,MATCH(B45,每周积分!$A:$A,0)),""))</f>
        <v/>
      </c>
      <c r="AE45" s="10">
        <f>IF(TRIM(V45&amp;"")="","",IF(OR(TRIM(V45)="不要用我的照片",TRIM(V45)="只给我自己看"),"★形象不可公开",IF(TRIM(V45)="可以但别画太丑","只用奖励风格","可正常使用")))</f>
        <v/>
      </c>
      <c r="AF45" s="8" t="n"/>
    </row>
    <row r="46">
      <c r="A46" s="11" t="n"/>
      <c r="B46" s="11" t="n"/>
      <c r="C46" s="11" t="n"/>
      <c r="D46" s="11" t="n"/>
      <c r="E46" s="12" t="n"/>
      <c r="F46" s="12" t="n"/>
      <c r="G46" s="12" t="n"/>
      <c r="H46" s="11" t="n"/>
      <c r="I46" s="12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2" t="n"/>
      <c r="U46" s="11" t="n"/>
      <c r="V46" s="12" t="n"/>
      <c r="W46" s="12" t="n"/>
      <c r="X46" s="12" t="n"/>
      <c r="Y46" s="11" t="n"/>
      <c r="Z46" s="12" t="n"/>
      <c r="AA46" s="11" t="n"/>
      <c r="AB46" s="10">
        <f>IF(B46="","",B46&amp;".png")</f>
        <v/>
      </c>
      <c r="AC46" s="10">
        <f>IF(B46="","",IFERROR(INDEX(每周积分!$U:$U,MATCH(B46,每周积分!$A:$A,0)),0))</f>
        <v/>
      </c>
      <c r="AD46" s="10">
        <f>IF(AC46="","",IFERROR(INDEX(每周积分!$V:$V,MATCH(B46,每周积分!$A:$A,0)),""))</f>
        <v/>
      </c>
      <c r="AE46" s="10">
        <f>IF(TRIM(V46&amp;"")="","",IF(OR(TRIM(V46)="不要用我的照片",TRIM(V46)="只给我自己看"),"★形象不可公开",IF(TRIM(V46)="可以但别画太丑","只用奖励风格","可正常使用")))</f>
        <v/>
      </c>
      <c r="AF46" s="11" t="n"/>
    </row>
    <row r="47">
      <c r="A47" s="8" t="n"/>
      <c r="B47" s="8" t="n"/>
      <c r="C47" s="8" t="n"/>
      <c r="D47" s="8" t="n"/>
      <c r="E47" s="9" t="n"/>
      <c r="F47" s="9" t="n"/>
      <c r="G47" s="9" t="n"/>
      <c r="H47" s="8" t="n"/>
      <c r="I47" s="9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9" t="n"/>
      <c r="U47" s="8" t="n"/>
      <c r="V47" s="9" t="n"/>
      <c r="W47" s="9" t="n"/>
      <c r="X47" s="9" t="n"/>
      <c r="Y47" s="8" t="n"/>
      <c r="Z47" s="9" t="n"/>
      <c r="AA47" s="8" t="n"/>
      <c r="AB47" s="10">
        <f>IF(B47="","",B47&amp;".png")</f>
        <v/>
      </c>
      <c r="AC47" s="10">
        <f>IF(B47="","",IFERROR(INDEX(每周积分!$U:$U,MATCH(B47,每周积分!$A:$A,0)),0))</f>
        <v/>
      </c>
      <c r="AD47" s="10">
        <f>IF(AC47="","",IFERROR(INDEX(每周积分!$V:$V,MATCH(B47,每周积分!$A:$A,0)),""))</f>
        <v/>
      </c>
      <c r="AE47" s="10">
        <f>IF(TRIM(V47&amp;"")="","",IF(OR(TRIM(V47)="不要用我的照片",TRIM(V47)="只给我自己看"),"★形象不可公开",IF(TRIM(V47)="可以但别画太丑","只用奖励风格","可正常使用")))</f>
        <v/>
      </c>
      <c r="AF47" s="8" t="n"/>
    </row>
    <row r="48">
      <c r="A48" s="11" t="n"/>
      <c r="B48" s="11" t="n"/>
      <c r="C48" s="11" t="n"/>
      <c r="D48" s="11" t="n"/>
      <c r="E48" s="12" t="n"/>
      <c r="F48" s="12" t="n"/>
      <c r="G48" s="12" t="n"/>
      <c r="H48" s="11" t="n"/>
      <c r="I48" s="12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2" t="n"/>
      <c r="U48" s="11" t="n"/>
      <c r="V48" s="12" t="n"/>
      <c r="W48" s="12" t="n"/>
      <c r="X48" s="12" t="n"/>
      <c r="Y48" s="11" t="n"/>
      <c r="Z48" s="12" t="n"/>
      <c r="AA48" s="11" t="n"/>
      <c r="AB48" s="10">
        <f>IF(B48="","",B48&amp;".png")</f>
        <v/>
      </c>
      <c r="AC48" s="10">
        <f>IF(B48="","",IFERROR(INDEX(每周积分!$U:$U,MATCH(B48,每周积分!$A:$A,0)),0))</f>
        <v/>
      </c>
      <c r="AD48" s="10">
        <f>IF(AC48="","",IFERROR(INDEX(每周积分!$V:$V,MATCH(B48,每周积分!$A:$A,0)),""))</f>
        <v/>
      </c>
      <c r="AE48" s="10">
        <f>IF(TRIM(V48&amp;"")="","",IF(OR(TRIM(V48)="不要用我的照片",TRIM(V48)="只给我自己看"),"★形象不可公开",IF(TRIM(V48)="可以但别画太丑","只用奖励风格","可正常使用")))</f>
        <v/>
      </c>
      <c r="AF48" s="11" t="n"/>
    </row>
    <row r="49">
      <c r="A49" s="8" t="n"/>
      <c r="B49" s="8" t="n"/>
      <c r="C49" s="8" t="n"/>
      <c r="D49" s="8" t="n"/>
      <c r="E49" s="9" t="n"/>
      <c r="F49" s="9" t="n"/>
      <c r="G49" s="9" t="n"/>
      <c r="H49" s="8" t="n"/>
      <c r="I49" s="9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9" t="n"/>
      <c r="U49" s="8" t="n"/>
      <c r="V49" s="9" t="n"/>
      <c r="W49" s="9" t="n"/>
      <c r="X49" s="9" t="n"/>
      <c r="Y49" s="8" t="n"/>
      <c r="Z49" s="9" t="n"/>
      <c r="AA49" s="8" t="n"/>
      <c r="AB49" s="10">
        <f>IF(B49="","",B49&amp;".png")</f>
        <v/>
      </c>
      <c r="AC49" s="10">
        <f>IF(B49="","",IFERROR(INDEX(每周积分!$U:$U,MATCH(B49,每周积分!$A:$A,0)),0))</f>
        <v/>
      </c>
      <c r="AD49" s="10">
        <f>IF(AC49="","",IFERROR(INDEX(每周积分!$V:$V,MATCH(B49,每周积分!$A:$A,0)),""))</f>
        <v/>
      </c>
      <c r="AE49" s="10">
        <f>IF(TRIM(V49&amp;"")="","",IF(OR(TRIM(V49)="不要用我的照片",TRIM(V49)="只给我自己看"),"★形象不可公开",IF(TRIM(V49)="可以但别画太丑","只用奖励风格","可正常使用")))</f>
        <v/>
      </c>
      <c r="AF49" s="8" t="n"/>
    </row>
    <row r="50">
      <c r="A50" s="11" t="n"/>
      <c r="B50" s="11" t="n"/>
      <c r="C50" s="11" t="n"/>
      <c r="D50" s="11" t="n"/>
      <c r="E50" s="12" t="n"/>
      <c r="F50" s="12" t="n"/>
      <c r="G50" s="12" t="n"/>
      <c r="H50" s="11" t="n"/>
      <c r="I50" s="12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2" t="n"/>
      <c r="U50" s="11" t="n"/>
      <c r="V50" s="12" t="n"/>
      <c r="W50" s="12" t="n"/>
      <c r="X50" s="12" t="n"/>
      <c r="Y50" s="11" t="n"/>
      <c r="Z50" s="12" t="n"/>
      <c r="AA50" s="11" t="n"/>
      <c r="AB50" s="10">
        <f>IF(B50="","",B50&amp;".png")</f>
        <v/>
      </c>
      <c r="AC50" s="10">
        <f>IF(B50="","",IFERROR(INDEX(每周积分!$U:$U,MATCH(B50,每周积分!$A:$A,0)),0))</f>
        <v/>
      </c>
      <c r="AD50" s="10">
        <f>IF(AC50="","",IFERROR(INDEX(每周积分!$V:$V,MATCH(B50,每周积分!$A:$A,0)),""))</f>
        <v/>
      </c>
      <c r="AE50" s="10">
        <f>IF(TRIM(V50&amp;"")="","",IF(OR(TRIM(V50)="不要用我的照片",TRIM(V50)="只给我自己看"),"★形象不可公开",IF(TRIM(V50)="可以但别画太丑","只用奖励风格","可正常使用")))</f>
        <v/>
      </c>
      <c r="AF50" s="11" t="n"/>
    </row>
    <row r="51">
      <c r="A51" s="8" t="n"/>
      <c r="B51" s="8" t="n"/>
      <c r="C51" s="8" t="n"/>
      <c r="D51" s="8" t="n"/>
      <c r="E51" s="9" t="n"/>
      <c r="F51" s="9" t="n"/>
      <c r="G51" s="9" t="n"/>
      <c r="H51" s="8" t="n"/>
      <c r="I51" s="9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9" t="n"/>
      <c r="U51" s="8" t="n"/>
      <c r="V51" s="9" t="n"/>
      <c r="W51" s="9" t="n"/>
      <c r="X51" s="9" t="n"/>
      <c r="Y51" s="8" t="n"/>
      <c r="Z51" s="9" t="n"/>
      <c r="AA51" s="8" t="n"/>
      <c r="AB51" s="10">
        <f>IF(B51="","",B51&amp;".png")</f>
        <v/>
      </c>
      <c r="AC51" s="10">
        <f>IF(B51="","",IFERROR(INDEX(每周积分!$U:$U,MATCH(B51,每周积分!$A:$A,0)),0))</f>
        <v/>
      </c>
      <c r="AD51" s="10">
        <f>IF(AC51="","",IFERROR(INDEX(每周积分!$V:$V,MATCH(B51,每周积分!$A:$A,0)),""))</f>
        <v/>
      </c>
      <c r="AE51" s="10">
        <f>IF(TRIM(V51&amp;"")="","",IF(OR(TRIM(V51)="不要用我的照片",TRIM(V51)="只给我自己看"),"★形象不可公开",IF(TRIM(V51)="可以但别画太丑","只用奖励风格","可正常使用")))</f>
        <v/>
      </c>
      <c r="AF51" s="8" t="n"/>
    </row>
    <row r="52">
      <c r="A52" s="11" t="n"/>
      <c r="B52" s="11" t="n"/>
      <c r="C52" s="11" t="n"/>
      <c r="D52" s="11" t="n"/>
      <c r="E52" s="12" t="n"/>
      <c r="F52" s="12" t="n"/>
      <c r="G52" s="12" t="n"/>
      <c r="H52" s="11" t="n"/>
      <c r="I52" s="12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2" t="n"/>
      <c r="U52" s="11" t="n"/>
      <c r="V52" s="12" t="n"/>
      <c r="W52" s="12" t="n"/>
      <c r="X52" s="12" t="n"/>
      <c r="Y52" s="11" t="n"/>
      <c r="Z52" s="12" t="n"/>
      <c r="AA52" s="11" t="n"/>
      <c r="AB52" s="10">
        <f>IF(B52="","",B52&amp;".png")</f>
        <v/>
      </c>
      <c r="AC52" s="10">
        <f>IF(B52="","",IFERROR(INDEX(每周积分!$U:$U,MATCH(B52,每周积分!$A:$A,0)),0))</f>
        <v/>
      </c>
      <c r="AD52" s="10">
        <f>IF(AC52="","",IFERROR(INDEX(每周积分!$V:$V,MATCH(B52,每周积分!$A:$A,0)),""))</f>
        <v/>
      </c>
      <c r="AE52" s="10">
        <f>IF(TRIM(V52&amp;"")="","",IF(OR(TRIM(V52)="不要用我的照片",TRIM(V52)="只给我自己看"),"★形象不可公开",IF(TRIM(V52)="可以但别画太丑","只用奖励风格","可正常使用")))</f>
        <v/>
      </c>
      <c r="AF52" s="11" t="n"/>
    </row>
  </sheetData>
  <autoFilter ref="A2:AF2"/>
  <mergeCells count="1">
    <mergeCell ref="A1:AF1"/>
  </mergeCells>
  <conditionalFormatting sqref="AE3:AE52">
    <cfRule type="expression" priority="1" dxfId="0">
      <formula>ISNUMBER(SEARCH("不可公开",AE3))</formula>
    </cfRule>
  </conditionalFormatting>
  <dataValidations count="6">
    <dataValidation sqref="E3:E52" showDropDown="0" showInputMessage="0" showErrorMessage="0" allowBlank="1" errorTitle="请用下拉" error="请从下拉列表里选，不要自己改字" type="list">
      <formula1>选项库!$A$3:$A$6</formula1>
    </dataValidation>
    <dataValidation sqref="F3:F52" showDropDown="0" showInputMessage="0" showErrorMessage="0" allowBlank="1" errorTitle="请用下拉" error="请从下拉列表里选，不要自己改字" type="list">
      <formula1>选项库!$B$3:$B$6</formula1>
    </dataValidation>
    <dataValidation sqref="I3:I52" showDropDown="0" showInputMessage="0" showErrorMessage="0" allowBlank="1" errorTitle="请用下拉" error="请从下拉列表里选，不要自己改字" type="list">
      <formula1>选项库!$D$3:$D$5</formula1>
    </dataValidation>
    <dataValidation sqref="T3:T52" showDropDown="0" showInputMessage="0" showErrorMessage="0" allowBlank="1" errorTitle="请用下拉" error="请从下拉列表里选，不要自己改字" type="list">
      <formula1>选项库!$E$3:$E$6</formula1>
    </dataValidation>
    <dataValidation sqref="V3:V52" showDropDown="0" showInputMessage="0" showErrorMessage="0" allowBlank="1" errorTitle="请用下拉" error="请从下拉列表里选，不要自己改字" type="list">
      <formula1>选项库!$F$3:$F$6</formula1>
    </dataValidation>
    <dataValidation sqref="Z3:Z52" showDropDown="0" showInputMessage="0" showErrorMessage="0" allowBlank="1" type="date"/>
  </dataValidations>
  <pageMargins left="0.75" right="0.75" top="1" bottom="1" header="0.5" footer="0.5"/>
  <pageSetup orientation="landscape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X52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2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10" customWidth="1" min="21" max="21"/>
    <col width="16" customWidth="1" min="22" max="22"/>
    <col width="14" customWidth="1" min="23" max="23"/>
    <col width="8" customWidth="1" min="24" max="24"/>
  </cols>
  <sheetData>
    <row r="1" ht="56" customHeight="1">
      <c r="A1" s="55" t="inlineStr">
        <is>
          <t>现在这一张全是空的，正常——还没上课。「本周计算器」是本文件底下另一张表（和这一张并排），不是别的软件。每周五：打开「本周计算器」，把那张表里表头叫「本周合计」的那一列复制成数值，粘到这一张正在记的那一周下面——现在是第1周就粘「第1周」，到第5周才粘「第5周」。不要复制这一张的 G 列，G 列的表头是「第5周」，跟本周合计没关系。U 列累计、V 列等级会自己加。右上角 X1 填你正在记的是第几周。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  <c r="O1" s="46" t="n"/>
      <c r="P1" s="46" t="n"/>
      <c r="Q1" s="46" t="n"/>
      <c r="R1" s="46" t="n"/>
      <c r="S1" s="46" t="n"/>
      <c r="T1" s="46" t="n"/>
      <c r="U1" s="46" t="n"/>
      <c r="V1" s="47" t="n"/>
      <c r="W1" s="13" t="inlineStr">
        <is>
          <t>当前周次 →</t>
        </is>
      </c>
      <c r="X1" s="14" t="n">
        <v>1</v>
      </c>
    </row>
    <row r="2" ht="36" customHeight="1">
      <c r="A2" s="6" t="inlineStr">
        <is>
          <t>学号</t>
        </is>
      </c>
      <c r="B2" s="6" t="inlineStr">
        <is>
          <t>姓名</t>
        </is>
      </c>
      <c r="C2" s="6" t="inlineStr">
        <is>
          <t>第1周</t>
        </is>
      </c>
      <c r="D2" s="6" t="inlineStr">
        <is>
          <t>第2周</t>
        </is>
      </c>
      <c r="E2" s="6" t="inlineStr">
        <is>
          <t>第3周</t>
        </is>
      </c>
      <c r="F2" s="6" t="inlineStr">
        <is>
          <t>第4周</t>
        </is>
      </c>
      <c r="G2" s="6" t="inlineStr">
        <is>
          <t>第5周</t>
        </is>
      </c>
      <c r="H2" s="6" t="inlineStr">
        <is>
          <t>第6周</t>
        </is>
      </c>
      <c r="I2" s="6" t="inlineStr">
        <is>
          <t>第7周</t>
        </is>
      </c>
      <c r="J2" s="6" t="inlineStr">
        <is>
          <t>第8周</t>
        </is>
      </c>
      <c r="K2" s="6" t="inlineStr">
        <is>
          <t>第9周</t>
        </is>
      </c>
      <c r="L2" s="6" t="inlineStr">
        <is>
          <t>第10周</t>
        </is>
      </c>
      <c r="M2" s="6" t="inlineStr">
        <is>
          <t>第11周</t>
        </is>
      </c>
      <c r="N2" s="6" t="inlineStr">
        <is>
          <t>第12周</t>
        </is>
      </c>
      <c r="O2" s="6" t="inlineStr">
        <is>
          <t>第13周</t>
        </is>
      </c>
      <c r="P2" s="6" t="inlineStr">
        <is>
          <t>第14周</t>
        </is>
      </c>
      <c r="Q2" s="6" t="inlineStr">
        <is>
          <t>第15周</t>
        </is>
      </c>
      <c r="R2" s="6" t="inlineStr">
        <is>
          <t>第16周</t>
        </is>
      </c>
      <c r="S2" s="6" t="inlineStr">
        <is>
          <t>第17周</t>
        </is>
      </c>
      <c r="T2" s="6" t="inlineStr">
        <is>
          <t>第18周</t>
        </is>
      </c>
      <c r="U2" s="6" t="inlineStr">
        <is>
          <t>累计</t>
        </is>
      </c>
      <c r="V2" s="6" t="inlineStr">
        <is>
          <t>当前等级</t>
        </is>
      </c>
    </row>
    <row r="3">
      <c r="A3" s="15">
        <f>IF(学生档案!B3="","",学生档案!B3)</f>
        <v/>
      </c>
      <c r="B3" s="15">
        <f>IF(学生档案!C3="","",学生档案!C3)</f>
        <v/>
      </c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7">
        <f>IF(A3="","",SUM(C3:T3))</f>
        <v/>
      </c>
      <c r="V3" s="17">
        <f>IF(U3="","",IF(U3&gt;=80,"Lv5 CFO",IF(U3&gt;=50,"Lv4 主管会计",IF(U3&gt;=30,"Lv3 记账会计",IF(U3&gt;=15,"Lv2 出纳","Lv1 实习生")))))</f>
        <v/>
      </c>
    </row>
    <row r="4">
      <c r="A4" s="15">
        <f>IF(学生档案!B4="","",学生档案!B4)</f>
        <v/>
      </c>
      <c r="B4" s="15">
        <f>IF(学生档案!C4="","",学生档案!C4)</f>
        <v/>
      </c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7">
        <f>IF(A4="","",SUM(C4:T4))</f>
        <v/>
      </c>
      <c r="V4" s="17">
        <f>IF(U4="","",IF(U4&gt;=80,"Lv5 CFO",IF(U4&gt;=50,"Lv4 主管会计",IF(U4&gt;=30,"Lv3 记账会计",IF(U4&gt;=15,"Lv2 出纳","Lv1 实习生")))))</f>
        <v/>
      </c>
    </row>
    <row r="5">
      <c r="A5" s="15">
        <f>IF(学生档案!B5="","",学生档案!B5)</f>
        <v/>
      </c>
      <c r="B5" s="15">
        <f>IF(学生档案!C5="","",学生档案!C5)</f>
        <v/>
      </c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7">
        <f>IF(A5="","",SUM(C5:T5))</f>
        <v/>
      </c>
      <c r="V5" s="17">
        <f>IF(U5="","",IF(U5&gt;=80,"Lv5 CFO",IF(U5&gt;=50,"Lv4 主管会计",IF(U5&gt;=30,"Lv3 记账会计",IF(U5&gt;=15,"Lv2 出纳","Lv1 实习生")))))</f>
        <v/>
      </c>
    </row>
    <row r="6">
      <c r="A6" s="15">
        <f>IF(学生档案!B6="","",学生档案!B6)</f>
        <v/>
      </c>
      <c r="B6" s="15">
        <f>IF(学生档案!C6="","",学生档案!C6)</f>
        <v/>
      </c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7">
        <f>IF(A6="","",SUM(C6:T6))</f>
        <v/>
      </c>
      <c r="V6" s="17">
        <f>IF(U6="","",IF(U6&gt;=80,"Lv5 CFO",IF(U6&gt;=50,"Lv4 主管会计",IF(U6&gt;=30,"Lv3 记账会计",IF(U6&gt;=15,"Lv2 出纳","Lv1 实习生")))))</f>
        <v/>
      </c>
    </row>
    <row r="7">
      <c r="A7" s="15">
        <f>IF(学生档案!B7="","",学生档案!B7)</f>
        <v/>
      </c>
      <c r="B7" s="15">
        <f>IF(学生档案!C7="","",学生档案!C7)</f>
        <v/>
      </c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7">
        <f>IF(A7="","",SUM(C7:T7))</f>
        <v/>
      </c>
      <c r="V7" s="17">
        <f>IF(U7="","",IF(U7&gt;=80,"Lv5 CFO",IF(U7&gt;=50,"Lv4 主管会计",IF(U7&gt;=30,"Lv3 记账会计",IF(U7&gt;=15,"Lv2 出纳","Lv1 实习生")))))</f>
        <v/>
      </c>
    </row>
    <row r="8">
      <c r="A8" s="15">
        <f>IF(学生档案!B8="","",学生档案!B8)</f>
        <v/>
      </c>
      <c r="B8" s="15">
        <f>IF(学生档案!C8="","",学生档案!C8)</f>
        <v/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7">
        <f>IF(A8="","",SUM(C8:T8))</f>
        <v/>
      </c>
      <c r="V8" s="17">
        <f>IF(U8="","",IF(U8&gt;=80,"Lv5 CFO",IF(U8&gt;=50,"Lv4 主管会计",IF(U8&gt;=30,"Lv3 记账会计",IF(U8&gt;=15,"Lv2 出纳","Lv1 实习生")))))</f>
        <v/>
      </c>
    </row>
    <row r="9">
      <c r="A9" s="15">
        <f>IF(学生档案!B9="","",学生档案!B9)</f>
        <v/>
      </c>
      <c r="B9" s="15">
        <f>IF(学生档案!C9="","",学生档案!C9)</f>
        <v/>
      </c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7">
        <f>IF(A9="","",SUM(C9:T9))</f>
        <v/>
      </c>
      <c r="V9" s="17">
        <f>IF(U9="","",IF(U9&gt;=80,"Lv5 CFO",IF(U9&gt;=50,"Lv4 主管会计",IF(U9&gt;=30,"Lv3 记账会计",IF(U9&gt;=15,"Lv2 出纳","Lv1 实习生")))))</f>
        <v/>
      </c>
    </row>
    <row r="10">
      <c r="A10" s="15">
        <f>IF(学生档案!B10="","",学生档案!B10)</f>
        <v/>
      </c>
      <c r="B10" s="15">
        <f>IF(学生档案!C10="","",学生档案!C10)</f>
        <v/>
      </c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7">
        <f>IF(A10="","",SUM(C10:T10))</f>
        <v/>
      </c>
      <c r="V10" s="17">
        <f>IF(U10="","",IF(U10&gt;=80,"Lv5 CFO",IF(U10&gt;=50,"Lv4 主管会计",IF(U10&gt;=30,"Lv3 记账会计",IF(U10&gt;=15,"Lv2 出纳","Lv1 实习生")))))</f>
        <v/>
      </c>
    </row>
    <row r="11">
      <c r="A11" s="15">
        <f>IF(学生档案!B11="","",学生档案!B11)</f>
        <v/>
      </c>
      <c r="B11" s="15">
        <f>IF(学生档案!C11="","",学生档案!C11)</f>
        <v/>
      </c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7">
        <f>IF(A11="","",SUM(C11:T11))</f>
        <v/>
      </c>
      <c r="V11" s="17">
        <f>IF(U11="","",IF(U11&gt;=80,"Lv5 CFO",IF(U11&gt;=50,"Lv4 主管会计",IF(U11&gt;=30,"Lv3 记账会计",IF(U11&gt;=15,"Lv2 出纳","Lv1 实习生")))))</f>
        <v/>
      </c>
    </row>
    <row r="12">
      <c r="A12" s="15">
        <f>IF(学生档案!B12="","",学生档案!B12)</f>
        <v/>
      </c>
      <c r="B12" s="15">
        <f>IF(学生档案!C12="","",学生档案!C12)</f>
        <v/>
      </c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7">
        <f>IF(A12="","",SUM(C12:T12))</f>
        <v/>
      </c>
      <c r="V12" s="17">
        <f>IF(U12="","",IF(U12&gt;=80,"Lv5 CFO",IF(U12&gt;=50,"Lv4 主管会计",IF(U12&gt;=30,"Lv3 记账会计",IF(U12&gt;=15,"Lv2 出纳","Lv1 实习生")))))</f>
        <v/>
      </c>
    </row>
    <row r="13">
      <c r="A13" s="15">
        <f>IF(学生档案!B13="","",学生档案!B13)</f>
        <v/>
      </c>
      <c r="B13" s="15">
        <f>IF(学生档案!C13="","",学生档案!C13)</f>
        <v/>
      </c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7">
        <f>IF(A13="","",SUM(C13:T13))</f>
        <v/>
      </c>
      <c r="V13" s="17">
        <f>IF(U13="","",IF(U13&gt;=80,"Lv5 CFO",IF(U13&gt;=50,"Lv4 主管会计",IF(U13&gt;=30,"Lv3 记账会计",IF(U13&gt;=15,"Lv2 出纳","Lv1 实习生")))))</f>
        <v/>
      </c>
    </row>
    <row r="14">
      <c r="A14" s="15">
        <f>IF(学生档案!B14="","",学生档案!B14)</f>
        <v/>
      </c>
      <c r="B14" s="15">
        <f>IF(学生档案!C14="","",学生档案!C14)</f>
        <v/>
      </c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7">
        <f>IF(A14="","",SUM(C14:T14))</f>
        <v/>
      </c>
      <c r="V14" s="17">
        <f>IF(U14="","",IF(U14&gt;=80,"Lv5 CFO",IF(U14&gt;=50,"Lv4 主管会计",IF(U14&gt;=30,"Lv3 记账会计",IF(U14&gt;=15,"Lv2 出纳","Lv1 实习生")))))</f>
        <v/>
      </c>
    </row>
    <row r="15">
      <c r="A15" s="15">
        <f>IF(学生档案!B15="","",学生档案!B15)</f>
        <v/>
      </c>
      <c r="B15" s="15">
        <f>IF(学生档案!C15="","",学生档案!C15)</f>
        <v/>
      </c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7">
        <f>IF(A15="","",SUM(C15:T15))</f>
        <v/>
      </c>
      <c r="V15" s="17">
        <f>IF(U15="","",IF(U15&gt;=80,"Lv5 CFO",IF(U15&gt;=50,"Lv4 主管会计",IF(U15&gt;=30,"Lv3 记账会计",IF(U15&gt;=15,"Lv2 出纳","Lv1 实习生")))))</f>
        <v/>
      </c>
    </row>
    <row r="16">
      <c r="A16" s="15">
        <f>IF(学生档案!B16="","",学生档案!B16)</f>
        <v/>
      </c>
      <c r="B16" s="15">
        <f>IF(学生档案!C16="","",学生档案!C16)</f>
        <v/>
      </c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7">
        <f>IF(A16="","",SUM(C16:T16))</f>
        <v/>
      </c>
      <c r="V16" s="17">
        <f>IF(U16="","",IF(U16&gt;=80,"Lv5 CFO",IF(U16&gt;=50,"Lv4 主管会计",IF(U16&gt;=30,"Lv3 记账会计",IF(U16&gt;=15,"Lv2 出纳","Lv1 实习生")))))</f>
        <v/>
      </c>
    </row>
    <row r="17">
      <c r="A17" s="15">
        <f>IF(学生档案!B17="","",学生档案!B17)</f>
        <v/>
      </c>
      <c r="B17" s="15">
        <f>IF(学生档案!C17="","",学生档案!C17)</f>
        <v/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7">
        <f>IF(A17="","",SUM(C17:T17))</f>
        <v/>
      </c>
      <c r="V17" s="17">
        <f>IF(U17="","",IF(U17&gt;=80,"Lv5 CFO",IF(U17&gt;=50,"Lv4 主管会计",IF(U17&gt;=30,"Lv3 记账会计",IF(U17&gt;=15,"Lv2 出纳","Lv1 实习生")))))</f>
        <v/>
      </c>
    </row>
    <row r="18">
      <c r="A18" s="15">
        <f>IF(学生档案!B18="","",学生档案!B18)</f>
        <v/>
      </c>
      <c r="B18" s="15">
        <f>IF(学生档案!C18="","",学生档案!C18)</f>
        <v/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7">
        <f>IF(A18="","",SUM(C18:T18))</f>
        <v/>
      </c>
      <c r="V18" s="17">
        <f>IF(U18="","",IF(U18&gt;=80,"Lv5 CFO",IF(U18&gt;=50,"Lv4 主管会计",IF(U18&gt;=30,"Lv3 记账会计",IF(U18&gt;=15,"Lv2 出纳","Lv1 实习生")))))</f>
        <v/>
      </c>
    </row>
    <row r="19">
      <c r="A19" s="15">
        <f>IF(学生档案!B19="","",学生档案!B19)</f>
        <v/>
      </c>
      <c r="B19" s="15">
        <f>IF(学生档案!C19="","",学生档案!C19)</f>
        <v/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7">
        <f>IF(A19="","",SUM(C19:T19))</f>
        <v/>
      </c>
      <c r="V19" s="17">
        <f>IF(U19="","",IF(U19&gt;=80,"Lv5 CFO",IF(U19&gt;=50,"Lv4 主管会计",IF(U19&gt;=30,"Lv3 记账会计",IF(U19&gt;=15,"Lv2 出纳","Lv1 实习生")))))</f>
        <v/>
      </c>
    </row>
    <row r="20">
      <c r="A20" s="15">
        <f>IF(学生档案!B20="","",学生档案!B20)</f>
        <v/>
      </c>
      <c r="B20" s="15">
        <f>IF(学生档案!C20="","",学生档案!C20)</f>
        <v/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7">
        <f>IF(A20="","",SUM(C20:T20))</f>
        <v/>
      </c>
      <c r="V20" s="17">
        <f>IF(U20="","",IF(U20&gt;=80,"Lv5 CFO",IF(U20&gt;=50,"Lv4 主管会计",IF(U20&gt;=30,"Lv3 记账会计",IF(U20&gt;=15,"Lv2 出纳","Lv1 实习生")))))</f>
        <v/>
      </c>
    </row>
    <row r="21">
      <c r="A21" s="15">
        <f>IF(学生档案!B21="","",学生档案!B21)</f>
        <v/>
      </c>
      <c r="B21" s="15">
        <f>IF(学生档案!C21="","",学生档案!C21)</f>
        <v/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7">
        <f>IF(A21="","",SUM(C21:T21))</f>
        <v/>
      </c>
      <c r="V21" s="17">
        <f>IF(U21="","",IF(U21&gt;=80,"Lv5 CFO",IF(U21&gt;=50,"Lv4 主管会计",IF(U21&gt;=30,"Lv3 记账会计",IF(U21&gt;=15,"Lv2 出纳","Lv1 实习生")))))</f>
        <v/>
      </c>
    </row>
    <row r="22">
      <c r="A22" s="15">
        <f>IF(学生档案!B22="","",学生档案!B22)</f>
        <v/>
      </c>
      <c r="B22" s="15">
        <f>IF(学生档案!C22="","",学生档案!C22)</f>
        <v/>
      </c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7">
        <f>IF(A22="","",SUM(C22:T22))</f>
        <v/>
      </c>
      <c r="V22" s="17">
        <f>IF(U22="","",IF(U22&gt;=80,"Lv5 CFO",IF(U22&gt;=50,"Lv4 主管会计",IF(U22&gt;=30,"Lv3 记账会计",IF(U22&gt;=15,"Lv2 出纳","Lv1 实习生")))))</f>
        <v/>
      </c>
    </row>
    <row r="23">
      <c r="A23" s="15">
        <f>IF(学生档案!B23="","",学生档案!B23)</f>
        <v/>
      </c>
      <c r="B23" s="15">
        <f>IF(学生档案!C23="","",学生档案!C23)</f>
        <v/>
      </c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7">
        <f>IF(A23="","",SUM(C23:T23))</f>
        <v/>
      </c>
      <c r="V23" s="17">
        <f>IF(U23="","",IF(U23&gt;=80,"Lv5 CFO",IF(U23&gt;=50,"Lv4 主管会计",IF(U23&gt;=30,"Lv3 记账会计",IF(U23&gt;=15,"Lv2 出纳","Lv1 实习生")))))</f>
        <v/>
      </c>
    </row>
    <row r="24">
      <c r="A24" s="15">
        <f>IF(学生档案!B24="","",学生档案!B24)</f>
        <v/>
      </c>
      <c r="B24" s="15">
        <f>IF(学生档案!C24="","",学生档案!C24)</f>
        <v/>
      </c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7">
        <f>IF(A24="","",SUM(C24:T24))</f>
        <v/>
      </c>
      <c r="V24" s="17">
        <f>IF(U24="","",IF(U24&gt;=80,"Lv5 CFO",IF(U24&gt;=50,"Lv4 主管会计",IF(U24&gt;=30,"Lv3 记账会计",IF(U24&gt;=15,"Lv2 出纳","Lv1 实习生")))))</f>
        <v/>
      </c>
    </row>
    <row r="25">
      <c r="A25" s="15">
        <f>IF(学生档案!B25="","",学生档案!B25)</f>
        <v/>
      </c>
      <c r="B25" s="15">
        <f>IF(学生档案!C25="","",学生档案!C25)</f>
        <v/>
      </c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7">
        <f>IF(A25="","",SUM(C25:T25))</f>
        <v/>
      </c>
      <c r="V25" s="17">
        <f>IF(U25="","",IF(U25&gt;=80,"Lv5 CFO",IF(U25&gt;=50,"Lv4 主管会计",IF(U25&gt;=30,"Lv3 记账会计",IF(U25&gt;=15,"Lv2 出纳","Lv1 实习生")))))</f>
        <v/>
      </c>
    </row>
    <row r="26">
      <c r="A26" s="15">
        <f>IF(学生档案!B26="","",学生档案!B26)</f>
        <v/>
      </c>
      <c r="B26" s="15">
        <f>IF(学生档案!C26="","",学生档案!C26)</f>
        <v/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7">
        <f>IF(A26="","",SUM(C26:T26))</f>
        <v/>
      </c>
      <c r="V26" s="17">
        <f>IF(U26="","",IF(U26&gt;=80,"Lv5 CFO",IF(U26&gt;=50,"Lv4 主管会计",IF(U26&gt;=30,"Lv3 记账会计",IF(U26&gt;=15,"Lv2 出纳","Lv1 实习生")))))</f>
        <v/>
      </c>
    </row>
    <row r="27">
      <c r="A27" s="15">
        <f>IF(学生档案!B27="","",学生档案!B27)</f>
        <v/>
      </c>
      <c r="B27" s="15">
        <f>IF(学生档案!C27="","",学生档案!C27)</f>
        <v/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7">
        <f>IF(A27="","",SUM(C27:T27))</f>
        <v/>
      </c>
      <c r="V27" s="17">
        <f>IF(U27="","",IF(U27&gt;=80,"Lv5 CFO",IF(U27&gt;=50,"Lv4 主管会计",IF(U27&gt;=30,"Lv3 记账会计",IF(U27&gt;=15,"Lv2 出纳","Lv1 实习生")))))</f>
        <v/>
      </c>
    </row>
    <row r="28">
      <c r="A28" s="15">
        <f>IF(学生档案!B28="","",学生档案!B28)</f>
        <v/>
      </c>
      <c r="B28" s="15">
        <f>IF(学生档案!C28="","",学生档案!C28)</f>
        <v/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7">
        <f>IF(A28="","",SUM(C28:T28))</f>
        <v/>
      </c>
      <c r="V28" s="17">
        <f>IF(U28="","",IF(U28&gt;=80,"Lv5 CFO",IF(U28&gt;=50,"Lv4 主管会计",IF(U28&gt;=30,"Lv3 记账会计",IF(U28&gt;=15,"Lv2 出纳","Lv1 实习生")))))</f>
        <v/>
      </c>
    </row>
    <row r="29">
      <c r="A29" s="15">
        <f>IF(学生档案!B29="","",学生档案!B29)</f>
        <v/>
      </c>
      <c r="B29" s="15">
        <f>IF(学生档案!C29="","",学生档案!C29)</f>
        <v/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7">
        <f>IF(A29="","",SUM(C29:T29))</f>
        <v/>
      </c>
      <c r="V29" s="17">
        <f>IF(U29="","",IF(U29&gt;=80,"Lv5 CFO",IF(U29&gt;=50,"Lv4 主管会计",IF(U29&gt;=30,"Lv3 记账会计",IF(U29&gt;=15,"Lv2 出纳","Lv1 实习生")))))</f>
        <v/>
      </c>
    </row>
    <row r="30">
      <c r="A30" s="15">
        <f>IF(学生档案!B30="","",学生档案!B30)</f>
        <v/>
      </c>
      <c r="B30" s="15">
        <f>IF(学生档案!C30="","",学生档案!C30)</f>
        <v/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7">
        <f>IF(A30="","",SUM(C30:T30))</f>
        <v/>
      </c>
      <c r="V30" s="17">
        <f>IF(U30="","",IF(U30&gt;=80,"Lv5 CFO",IF(U30&gt;=50,"Lv4 主管会计",IF(U30&gt;=30,"Lv3 记账会计",IF(U30&gt;=15,"Lv2 出纳","Lv1 实习生")))))</f>
        <v/>
      </c>
    </row>
    <row r="31">
      <c r="A31" s="15">
        <f>IF(学生档案!B31="","",学生档案!B31)</f>
        <v/>
      </c>
      <c r="B31" s="15">
        <f>IF(学生档案!C31="","",学生档案!C31)</f>
        <v/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7">
        <f>IF(A31="","",SUM(C31:T31))</f>
        <v/>
      </c>
      <c r="V31" s="17">
        <f>IF(U31="","",IF(U31&gt;=80,"Lv5 CFO",IF(U31&gt;=50,"Lv4 主管会计",IF(U31&gt;=30,"Lv3 记账会计",IF(U31&gt;=15,"Lv2 出纳","Lv1 实习生")))))</f>
        <v/>
      </c>
    </row>
    <row r="32">
      <c r="A32" s="15">
        <f>IF(学生档案!B32="","",学生档案!B32)</f>
        <v/>
      </c>
      <c r="B32" s="15">
        <f>IF(学生档案!C32="","",学生档案!C32)</f>
        <v/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7">
        <f>IF(A32="","",SUM(C32:T32))</f>
        <v/>
      </c>
      <c r="V32" s="17">
        <f>IF(U32="","",IF(U32&gt;=80,"Lv5 CFO",IF(U32&gt;=50,"Lv4 主管会计",IF(U32&gt;=30,"Lv3 记账会计",IF(U32&gt;=15,"Lv2 出纳","Lv1 实习生")))))</f>
        <v/>
      </c>
    </row>
    <row r="33">
      <c r="A33" s="15">
        <f>IF(学生档案!B33="","",学生档案!B33)</f>
        <v/>
      </c>
      <c r="B33" s="15">
        <f>IF(学生档案!C33="","",学生档案!C33)</f>
        <v/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7">
        <f>IF(A33="","",SUM(C33:T33))</f>
        <v/>
      </c>
      <c r="V33" s="17">
        <f>IF(U33="","",IF(U33&gt;=80,"Lv5 CFO",IF(U33&gt;=50,"Lv4 主管会计",IF(U33&gt;=30,"Lv3 记账会计",IF(U33&gt;=15,"Lv2 出纳","Lv1 实习生")))))</f>
        <v/>
      </c>
    </row>
    <row r="34">
      <c r="A34" s="15">
        <f>IF(学生档案!B34="","",学生档案!B34)</f>
        <v/>
      </c>
      <c r="B34" s="15">
        <f>IF(学生档案!C34="","",学生档案!C34)</f>
        <v/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7">
        <f>IF(A34="","",SUM(C34:T34))</f>
        <v/>
      </c>
      <c r="V34" s="17">
        <f>IF(U34="","",IF(U34&gt;=80,"Lv5 CFO",IF(U34&gt;=50,"Lv4 主管会计",IF(U34&gt;=30,"Lv3 记账会计",IF(U34&gt;=15,"Lv2 出纳","Lv1 实习生")))))</f>
        <v/>
      </c>
    </row>
    <row r="35">
      <c r="A35" s="15">
        <f>IF(学生档案!B35="","",学生档案!B35)</f>
        <v/>
      </c>
      <c r="B35" s="15">
        <f>IF(学生档案!C35="","",学生档案!C35)</f>
        <v/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7">
        <f>IF(A35="","",SUM(C35:T35))</f>
        <v/>
      </c>
      <c r="V35" s="17">
        <f>IF(U35="","",IF(U35&gt;=80,"Lv5 CFO",IF(U35&gt;=50,"Lv4 主管会计",IF(U35&gt;=30,"Lv3 记账会计",IF(U35&gt;=15,"Lv2 出纳","Lv1 实习生")))))</f>
        <v/>
      </c>
    </row>
    <row r="36">
      <c r="A36" s="15">
        <f>IF(学生档案!B36="","",学生档案!B36)</f>
        <v/>
      </c>
      <c r="B36" s="15">
        <f>IF(学生档案!C36="","",学生档案!C36)</f>
        <v/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7">
        <f>IF(A36="","",SUM(C36:T36))</f>
        <v/>
      </c>
      <c r="V36" s="17">
        <f>IF(U36="","",IF(U36&gt;=80,"Lv5 CFO",IF(U36&gt;=50,"Lv4 主管会计",IF(U36&gt;=30,"Lv3 记账会计",IF(U36&gt;=15,"Lv2 出纳","Lv1 实习生")))))</f>
        <v/>
      </c>
    </row>
    <row r="37">
      <c r="A37" s="15">
        <f>IF(学生档案!B37="","",学生档案!B37)</f>
        <v/>
      </c>
      <c r="B37" s="15">
        <f>IF(学生档案!C37="","",学生档案!C37)</f>
        <v/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7">
        <f>IF(A37="","",SUM(C37:T37))</f>
        <v/>
      </c>
      <c r="V37" s="17">
        <f>IF(U37="","",IF(U37&gt;=80,"Lv5 CFO",IF(U37&gt;=50,"Lv4 主管会计",IF(U37&gt;=30,"Lv3 记账会计",IF(U37&gt;=15,"Lv2 出纳","Lv1 实习生")))))</f>
        <v/>
      </c>
    </row>
    <row r="38">
      <c r="A38" s="15">
        <f>IF(学生档案!B38="","",学生档案!B38)</f>
        <v/>
      </c>
      <c r="B38" s="15">
        <f>IF(学生档案!C38="","",学生档案!C38)</f>
        <v/>
      </c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7">
        <f>IF(A38="","",SUM(C38:T38))</f>
        <v/>
      </c>
      <c r="V38" s="17">
        <f>IF(U38="","",IF(U38&gt;=80,"Lv5 CFO",IF(U38&gt;=50,"Lv4 主管会计",IF(U38&gt;=30,"Lv3 记账会计",IF(U38&gt;=15,"Lv2 出纳","Lv1 实习生")))))</f>
        <v/>
      </c>
    </row>
    <row r="39">
      <c r="A39" s="15">
        <f>IF(学生档案!B39="","",学生档案!B39)</f>
        <v/>
      </c>
      <c r="B39" s="15">
        <f>IF(学生档案!C39="","",学生档案!C39)</f>
        <v/>
      </c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7">
        <f>IF(A39="","",SUM(C39:T39))</f>
        <v/>
      </c>
      <c r="V39" s="17">
        <f>IF(U39="","",IF(U39&gt;=80,"Lv5 CFO",IF(U39&gt;=50,"Lv4 主管会计",IF(U39&gt;=30,"Lv3 记账会计",IF(U39&gt;=15,"Lv2 出纳","Lv1 实习生")))))</f>
        <v/>
      </c>
    </row>
    <row r="40">
      <c r="A40" s="15">
        <f>IF(学生档案!B40="","",学生档案!B40)</f>
        <v/>
      </c>
      <c r="B40" s="15">
        <f>IF(学生档案!C40="","",学生档案!C40)</f>
        <v/>
      </c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7">
        <f>IF(A40="","",SUM(C40:T40))</f>
        <v/>
      </c>
      <c r="V40" s="17">
        <f>IF(U40="","",IF(U40&gt;=80,"Lv5 CFO",IF(U40&gt;=50,"Lv4 主管会计",IF(U40&gt;=30,"Lv3 记账会计",IF(U40&gt;=15,"Lv2 出纳","Lv1 实习生")))))</f>
        <v/>
      </c>
    </row>
    <row r="41">
      <c r="A41" s="15">
        <f>IF(学生档案!B41="","",学生档案!B41)</f>
        <v/>
      </c>
      <c r="B41" s="15">
        <f>IF(学生档案!C41="","",学生档案!C41)</f>
        <v/>
      </c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7">
        <f>IF(A41="","",SUM(C41:T41))</f>
        <v/>
      </c>
      <c r="V41" s="17">
        <f>IF(U41="","",IF(U41&gt;=80,"Lv5 CFO",IF(U41&gt;=50,"Lv4 主管会计",IF(U41&gt;=30,"Lv3 记账会计",IF(U41&gt;=15,"Lv2 出纳","Lv1 实习生")))))</f>
        <v/>
      </c>
    </row>
    <row r="42">
      <c r="A42" s="15">
        <f>IF(学生档案!B42="","",学生档案!B42)</f>
        <v/>
      </c>
      <c r="B42" s="15">
        <f>IF(学生档案!C42="","",学生档案!C42)</f>
        <v/>
      </c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7">
        <f>IF(A42="","",SUM(C42:T42))</f>
        <v/>
      </c>
      <c r="V42" s="17">
        <f>IF(U42="","",IF(U42&gt;=80,"Lv5 CFO",IF(U42&gt;=50,"Lv4 主管会计",IF(U42&gt;=30,"Lv3 记账会计",IF(U42&gt;=15,"Lv2 出纳","Lv1 实习生")))))</f>
        <v/>
      </c>
    </row>
    <row r="43">
      <c r="A43" s="15">
        <f>IF(学生档案!B43="","",学生档案!B43)</f>
        <v/>
      </c>
      <c r="B43" s="15">
        <f>IF(学生档案!C43="","",学生档案!C43)</f>
        <v/>
      </c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7">
        <f>IF(A43="","",SUM(C43:T43))</f>
        <v/>
      </c>
      <c r="V43" s="17">
        <f>IF(U43="","",IF(U43&gt;=80,"Lv5 CFO",IF(U43&gt;=50,"Lv4 主管会计",IF(U43&gt;=30,"Lv3 记账会计",IF(U43&gt;=15,"Lv2 出纳","Lv1 实习生")))))</f>
        <v/>
      </c>
    </row>
    <row r="44">
      <c r="A44" s="15">
        <f>IF(学生档案!B44="","",学生档案!B44)</f>
        <v/>
      </c>
      <c r="B44" s="15">
        <f>IF(学生档案!C44="","",学生档案!C44)</f>
        <v/>
      </c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7">
        <f>IF(A44="","",SUM(C44:T44))</f>
        <v/>
      </c>
      <c r="V44" s="17">
        <f>IF(U44="","",IF(U44&gt;=80,"Lv5 CFO",IF(U44&gt;=50,"Lv4 主管会计",IF(U44&gt;=30,"Lv3 记账会计",IF(U44&gt;=15,"Lv2 出纳","Lv1 实习生")))))</f>
        <v/>
      </c>
    </row>
    <row r="45">
      <c r="A45" s="15">
        <f>IF(学生档案!B45="","",学生档案!B45)</f>
        <v/>
      </c>
      <c r="B45" s="15">
        <f>IF(学生档案!C45="","",学生档案!C45)</f>
        <v/>
      </c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7">
        <f>IF(A45="","",SUM(C45:T45))</f>
        <v/>
      </c>
      <c r="V45" s="17">
        <f>IF(U45="","",IF(U45&gt;=80,"Lv5 CFO",IF(U45&gt;=50,"Lv4 主管会计",IF(U45&gt;=30,"Lv3 记账会计",IF(U45&gt;=15,"Lv2 出纳","Lv1 实习生")))))</f>
        <v/>
      </c>
    </row>
    <row r="46">
      <c r="A46" s="15">
        <f>IF(学生档案!B46="","",学生档案!B46)</f>
        <v/>
      </c>
      <c r="B46" s="15">
        <f>IF(学生档案!C46="","",学生档案!C46)</f>
        <v/>
      </c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7">
        <f>IF(A46="","",SUM(C46:T46))</f>
        <v/>
      </c>
      <c r="V46" s="17">
        <f>IF(U46="","",IF(U46&gt;=80,"Lv5 CFO",IF(U46&gt;=50,"Lv4 主管会计",IF(U46&gt;=30,"Lv3 记账会计",IF(U46&gt;=15,"Lv2 出纳","Lv1 实习生")))))</f>
        <v/>
      </c>
    </row>
    <row r="47">
      <c r="A47" s="15">
        <f>IF(学生档案!B47="","",学生档案!B47)</f>
        <v/>
      </c>
      <c r="B47" s="15">
        <f>IF(学生档案!C47="","",学生档案!C47)</f>
        <v/>
      </c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7">
        <f>IF(A47="","",SUM(C47:T47))</f>
        <v/>
      </c>
      <c r="V47" s="17">
        <f>IF(U47="","",IF(U47&gt;=80,"Lv5 CFO",IF(U47&gt;=50,"Lv4 主管会计",IF(U47&gt;=30,"Lv3 记账会计",IF(U47&gt;=15,"Lv2 出纳","Lv1 实习生")))))</f>
        <v/>
      </c>
    </row>
    <row r="48">
      <c r="A48" s="15">
        <f>IF(学生档案!B48="","",学生档案!B48)</f>
        <v/>
      </c>
      <c r="B48" s="15">
        <f>IF(学生档案!C48="","",学生档案!C48)</f>
        <v/>
      </c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7">
        <f>IF(A48="","",SUM(C48:T48))</f>
        <v/>
      </c>
      <c r="V48" s="17">
        <f>IF(U48="","",IF(U48&gt;=80,"Lv5 CFO",IF(U48&gt;=50,"Lv4 主管会计",IF(U48&gt;=30,"Lv3 记账会计",IF(U48&gt;=15,"Lv2 出纳","Lv1 实习生")))))</f>
        <v/>
      </c>
    </row>
    <row r="49">
      <c r="A49" s="15">
        <f>IF(学生档案!B49="","",学生档案!B49)</f>
        <v/>
      </c>
      <c r="B49" s="15">
        <f>IF(学生档案!C49="","",学生档案!C49)</f>
        <v/>
      </c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7">
        <f>IF(A49="","",SUM(C49:T49))</f>
        <v/>
      </c>
      <c r="V49" s="17">
        <f>IF(U49="","",IF(U49&gt;=80,"Lv5 CFO",IF(U49&gt;=50,"Lv4 主管会计",IF(U49&gt;=30,"Lv3 记账会计",IF(U49&gt;=15,"Lv2 出纳","Lv1 实习生")))))</f>
        <v/>
      </c>
    </row>
    <row r="50">
      <c r="A50" s="15">
        <f>IF(学生档案!B50="","",学生档案!B50)</f>
        <v/>
      </c>
      <c r="B50" s="15">
        <f>IF(学生档案!C50="","",学生档案!C50)</f>
        <v/>
      </c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7">
        <f>IF(A50="","",SUM(C50:T50))</f>
        <v/>
      </c>
      <c r="V50" s="17">
        <f>IF(U50="","",IF(U50&gt;=80,"Lv5 CFO",IF(U50&gt;=50,"Lv4 主管会计",IF(U50&gt;=30,"Lv3 记账会计",IF(U50&gt;=15,"Lv2 出纳","Lv1 实习生")))))</f>
        <v/>
      </c>
    </row>
    <row r="51">
      <c r="A51" s="15">
        <f>IF(学生档案!B51="","",学生档案!B51)</f>
        <v/>
      </c>
      <c r="B51" s="15">
        <f>IF(学生档案!C51="","",学生档案!C51)</f>
        <v/>
      </c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7">
        <f>IF(A51="","",SUM(C51:T51))</f>
        <v/>
      </c>
      <c r="V51" s="17">
        <f>IF(U51="","",IF(U51&gt;=80,"Lv5 CFO",IF(U51&gt;=50,"Lv4 主管会计",IF(U51&gt;=30,"Lv3 记账会计",IF(U51&gt;=15,"Lv2 出纳","Lv1 实习生")))))</f>
        <v/>
      </c>
    </row>
    <row r="52">
      <c r="A52" s="15">
        <f>IF(学生档案!B52="","",学生档案!B52)</f>
        <v/>
      </c>
      <c r="B52" s="15">
        <f>IF(学生档案!C52="","",学生档案!C52)</f>
        <v/>
      </c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7">
        <f>IF(A52="","",SUM(C52:T52))</f>
        <v/>
      </c>
      <c r="V52" s="17">
        <f>IF(U52="","",IF(U52&gt;=80,"Lv5 CFO",IF(U52&gt;=50,"Lv4 主管会计",IF(U52&gt;=30,"Lv3 记账会计",IF(U52&gt;=15,"Lv2 出纳","Lv1 实习生")))))</f>
        <v/>
      </c>
    </row>
  </sheetData>
  <mergeCells count="1">
    <mergeCell ref="A1:V1"/>
  </mergeCells>
  <dataValidations count="1">
    <dataValidation sqref="X1" showDropDown="0" showInputMessage="0" showErrorMessage="0" allowBlank="0" type="whole" operator="between">
      <formula1>1</formula1>
      <formula2>18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838F"/>
    <outlinePr summaryBelow="1" summaryRight="1"/>
    <pageSetUpPr/>
  </sheetPr>
  <dimension ref="A1:U131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2" customWidth="1" min="1" max="1"/>
    <col width="10" customWidth="1" min="2" max="2"/>
    <col width="14" customWidth="1" min="3" max="3"/>
    <col width="14" customWidth="1" min="4" max="4"/>
    <col width="10" customWidth="1" min="5" max="5"/>
    <col width="10" customWidth="1" min="6" max="6"/>
    <col width="12" customWidth="1" min="7" max="7"/>
    <col width="22" customWidth="1" min="8" max="8"/>
    <col width="12" customWidth="1" min="10" max="10"/>
    <col width="12" customWidth="1" min="11" max="11"/>
    <col width="10" customWidth="1" min="12" max="12"/>
    <col width="8" customWidth="1" min="13" max="13"/>
    <col width="8" customWidth="1" min="14" max="14"/>
    <col width="8" customWidth="1" min="15" max="15"/>
    <col width="8" customWidth="1" min="16" max="16"/>
    <col width="16" customWidth="1" min="17" max="17"/>
    <col width="12" customWidth="1" min="19" max="19"/>
    <col width="8" customWidth="1" min="20" max="20"/>
    <col width="10" customWidth="1" min="21" max="21"/>
  </cols>
  <sheetData>
    <row r="1" ht="78" customHeight="1">
      <c r="A1" s="66" t="inlineStr">
        <is>
          <t>这张表就在本文件底下，点「本周计算器」进去。用处：把这一周三处的分加总，得出「本周合计」。①点名器 90-B2 导出的表，找到最下面「本节汇总」（姓名/组号/本节合计），贴到右边 S 列；②打地鼠 90-B1 导出的表贴到中间 J 列（含表头）。游戏里的 100 多分不会直接加进来，D 列会自动折成 0 / 2 / 5；③作业不是书后课后题。只有「项目结束的收集表」或「加分题收集表」才打分：没写 0、写了跑题 2、写了切题 5。没有收集表的那一周，E、F 列空着；④表头黄色的「本周合计 ← 复制这一列」，复制后到「每周积分」正在记的那一周，右键粘贴数值。不要粘到「每周积分」的 G 列——那是第5周。</t>
        </is>
      </c>
      <c r="B1" s="46" t="n"/>
      <c r="C1" s="46" t="n"/>
      <c r="D1" s="46" t="n"/>
      <c r="E1" s="46" t="n"/>
      <c r="F1" s="46" t="n"/>
      <c r="G1" s="46" t="n"/>
      <c r="H1" s="47" t="n"/>
      <c r="J1" s="18" t="inlineStr">
        <is>
          <t>打地鼠成绩粘贴区（含表头。游戏分会折成 0/2/5，不会把 142 分加进周分）</t>
        </is>
      </c>
      <c r="S1" s="18" t="inlineStr">
        <is>
          <t>点名器「本节汇总」粘贴区（只贴最下面那块：姓名,组号,本节合计）</t>
        </is>
      </c>
    </row>
    <row r="2" ht="36" customHeight="1">
      <c r="A2" s="19" t="inlineStr">
        <is>
          <t>学号</t>
        </is>
      </c>
      <c r="B2" s="19" t="inlineStr">
        <is>
          <t>姓名</t>
        </is>
      </c>
      <c r="C2" s="19" t="inlineStr">
        <is>
          <t>课堂分_90B2</t>
        </is>
      </c>
      <c r="D2" s="19" t="inlineStr">
        <is>
          <t>打地鼠（自动折成0/2/5）</t>
        </is>
      </c>
      <c r="E2" s="19" t="inlineStr">
        <is>
          <t>作业1（收集表才填）</t>
        </is>
      </c>
      <c r="F2" s="19" t="inlineStr">
        <is>
          <t>作业2（收集表才填）</t>
        </is>
      </c>
      <c r="G2" s="67" t="inlineStr">
        <is>
          <t>本周合计 ← 复制这一列</t>
        </is>
      </c>
      <c r="H2" s="19" t="inlineStr">
        <is>
          <t>构成</t>
        </is>
      </c>
      <c r="J2" s="20" t="inlineStr">
        <is>
          <t>日期</t>
        </is>
      </c>
      <c r="K2" s="20" t="inlineStr">
        <is>
          <t>姓名</t>
        </is>
      </c>
      <c r="L2" s="20" t="inlineStr">
        <is>
          <t>难度</t>
        </is>
      </c>
      <c r="M2" s="20" t="inlineStr">
        <is>
          <t>得分</t>
        </is>
      </c>
      <c r="N2" s="20" t="inlineStr">
        <is>
          <t>答对</t>
        </is>
      </c>
      <c r="O2" s="20" t="inlineStr">
        <is>
          <t>答错</t>
        </is>
      </c>
      <c r="P2" s="20" t="inlineStr">
        <is>
          <t>用时秒</t>
        </is>
      </c>
      <c r="Q2" s="20" t="inlineStr">
        <is>
          <t>错题</t>
        </is>
      </c>
      <c r="S2" s="21" t="inlineStr">
        <is>
          <t>姓名</t>
        </is>
      </c>
      <c r="T2" s="21" t="inlineStr">
        <is>
          <t>组号</t>
        </is>
      </c>
      <c r="U2" s="21" t="inlineStr">
        <is>
          <t>本节合计</t>
        </is>
      </c>
    </row>
    <row r="3">
      <c r="A3" s="15">
        <f>IF(每周积分!A3="","",每周积分!A3)</f>
        <v/>
      </c>
      <c r="B3" s="15">
        <f>IF(每周积分!B3="","",每周积分!B3)</f>
        <v/>
      </c>
      <c r="C3" s="15">
        <f>IF(B3="","",IFERROR(SUMIF($S$3:$S$200,B3,$U$3:$U$200),0))</f>
        <v/>
      </c>
      <c r="D3" s="15">
        <f>IF(B3="","",IFERROR(IF(SUMIF($K$3:$K$200,B3,$M$3:$M$200)&lt;=0,0,IF(SUMIF($K$3:$K$200,B3,$M$3:$M$200)&gt;=100,5,2)),0))</f>
        <v/>
      </c>
      <c r="E3" s="22" t="n"/>
      <c r="F3" s="22" t="n"/>
      <c r="G3" s="17">
        <f>IF(A3="","",SUM(C3:F3))</f>
        <v/>
      </c>
      <c r="H3" s="15">
        <f>IF(A3="","",CONCATENATE("课",C3," +鼠",D3," +作业",N(E3)+N(F3)))</f>
        <v/>
      </c>
      <c r="J3" s="23" t="n"/>
      <c r="K3" s="23" t="n"/>
      <c r="L3" s="23" t="n"/>
      <c r="M3" s="23" t="n"/>
      <c r="N3" s="23" t="n"/>
      <c r="O3" s="23" t="n"/>
      <c r="P3" s="23" t="n"/>
      <c r="Q3" s="23" t="n"/>
      <c r="S3" s="24" t="n"/>
      <c r="T3" s="24" t="n"/>
      <c r="U3" s="24" t="n"/>
    </row>
    <row r="4">
      <c r="A4" s="15">
        <f>IF(每周积分!A4="","",每周积分!A4)</f>
        <v/>
      </c>
      <c r="B4" s="15">
        <f>IF(每周积分!B4="","",每周积分!B4)</f>
        <v/>
      </c>
      <c r="C4" s="15">
        <f>IF(B4="","",IFERROR(SUMIF($S$3:$S$200,B4,$U$3:$U$200),0))</f>
        <v/>
      </c>
      <c r="D4" s="15">
        <f>IF(B4="","",IFERROR(IF(SUMIF($K$3:$K$200,B4,$M$3:$M$200)&lt;=0,0,IF(SUMIF($K$3:$K$200,B4,$M$3:$M$200)&gt;=100,5,2)),0))</f>
        <v/>
      </c>
      <c r="E4" s="22" t="n"/>
      <c r="F4" s="22" t="n"/>
      <c r="G4" s="17">
        <f>IF(A4="","",SUM(C4:F4))</f>
        <v/>
      </c>
      <c r="H4" s="15">
        <f>IF(A4="","",CONCATENATE("课",C4," +鼠",D4," +作业",N(E4)+N(F4)))</f>
        <v/>
      </c>
      <c r="J4" s="23" t="n"/>
      <c r="K4" s="23" t="n"/>
      <c r="L4" s="23" t="n"/>
      <c r="M4" s="23" t="n"/>
      <c r="N4" s="23" t="n"/>
      <c r="O4" s="23" t="n"/>
      <c r="P4" s="23" t="n"/>
      <c r="Q4" s="23" t="n"/>
      <c r="S4" s="24" t="n"/>
      <c r="T4" s="24" t="n"/>
      <c r="U4" s="24" t="n"/>
    </row>
    <row r="5">
      <c r="A5" s="15">
        <f>IF(每周积分!A5="","",每周积分!A5)</f>
        <v/>
      </c>
      <c r="B5" s="15">
        <f>IF(每周积分!B5="","",每周积分!B5)</f>
        <v/>
      </c>
      <c r="C5" s="15">
        <f>IF(B5="","",IFERROR(SUMIF($S$3:$S$200,B5,$U$3:$U$200),0))</f>
        <v/>
      </c>
      <c r="D5" s="15">
        <f>IF(B5="","",IFERROR(IF(SUMIF($K$3:$K$200,B5,$M$3:$M$200)&lt;=0,0,IF(SUMIF($K$3:$K$200,B5,$M$3:$M$200)&gt;=100,5,2)),0))</f>
        <v/>
      </c>
      <c r="E5" s="22" t="n"/>
      <c r="F5" s="22" t="n"/>
      <c r="G5" s="17">
        <f>IF(A5="","",SUM(C5:F5))</f>
        <v/>
      </c>
      <c r="H5" s="15">
        <f>IF(A5="","",CONCATENATE("课",C5," +鼠",D5," +作业",N(E5)+N(F5)))</f>
        <v/>
      </c>
      <c r="J5" s="23" t="n"/>
      <c r="K5" s="23" t="n"/>
      <c r="L5" s="23" t="n"/>
      <c r="M5" s="23" t="n"/>
      <c r="N5" s="23" t="n"/>
      <c r="O5" s="23" t="n"/>
      <c r="P5" s="23" t="n"/>
      <c r="Q5" s="23" t="n"/>
      <c r="S5" s="24" t="n"/>
      <c r="T5" s="24" t="n"/>
      <c r="U5" s="24" t="n"/>
    </row>
    <row r="6">
      <c r="A6" s="15">
        <f>IF(每周积分!A6="","",每周积分!A6)</f>
        <v/>
      </c>
      <c r="B6" s="15">
        <f>IF(每周积分!B6="","",每周积分!B6)</f>
        <v/>
      </c>
      <c r="C6" s="15">
        <f>IF(B6="","",IFERROR(SUMIF($S$3:$S$200,B6,$U$3:$U$200),0))</f>
        <v/>
      </c>
      <c r="D6" s="15">
        <f>IF(B6="","",IFERROR(IF(SUMIF($K$3:$K$200,B6,$M$3:$M$200)&lt;=0,0,IF(SUMIF($K$3:$K$200,B6,$M$3:$M$200)&gt;=100,5,2)),0))</f>
        <v/>
      </c>
      <c r="E6" s="22" t="n"/>
      <c r="F6" s="22" t="n"/>
      <c r="G6" s="17">
        <f>IF(A6="","",SUM(C6:F6))</f>
        <v/>
      </c>
      <c r="H6" s="15">
        <f>IF(A6="","",CONCATENATE("课",C6," +鼠",D6," +作业",N(E6)+N(F6)))</f>
        <v/>
      </c>
      <c r="J6" s="23" t="n"/>
      <c r="K6" s="23" t="n"/>
      <c r="L6" s="23" t="n"/>
      <c r="M6" s="23" t="n"/>
      <c r="N6" s="23" t="n"/>
      <c r="O6" s="23" t="n"/>
      <c r="P6" s="23" t="n"/>
      <c r="Q6" s="23" t="n"/>
      <c r="S6" s="24" t="n"/>
      <c r="T6" s="24" t="n"/>
      <c r="U6" s="24" t="n"/>
    </row>
    <row r="7">
      <c r="A7" s="15">
        <f>IF(每周积分!A7="","",每周积分!A7)</f>
        <v/>
      </c>
      <c r="B7" s="15">
        <f>IF(每周积分!B7="","",每周积分!B7)</f>
        <v/>
      </c>
      <c r="C7" s="15">
        <f>IF(B7="","",IFERROR(SUMIF($S$3:$S$200,B7,$U$3:$U$200),0))</f>
        <v/>
      </c>
      <c r="D7" s="15">
        <f>IF(B7="","",IFERROR(IF(SUMIF($K$3:$K$200,B7,$M$3:$M$200)&lt;=0,0,IF(SUMIF($K$3:$K$200,B7,$M$3:$M$200)&gt;=100,5,2)),0))</f>
        <v/>
      </c>
      <c r="E7" s="22" t="n"/>
      <c r="F7" s="22" t="n"/>
      <c r="G7" s="17">
        <f>IF(A7="","",SUM(C7:F7))</f>
        <v/>
      </c>
      <c r="H7" s="15">
        <f>IF(A7="","",CONCATENATE("课",C7," +鼠",D7," +作业",N(E7)+N(F7)))</f>
        <v/>
      </c>
      <c r="J7" s="23" t="n"/>
      <c r="K7" s="23" t="n"/>
      <c r="L7" s="23" t="n"/>
      <c r="M7" s="23" t="n"/>
      <c r="N7" s="23" t="n"/>
      <c r="O7" s="23" t="n"/>
      <c r="P7" s="23" t="n"/>
      <c r="Q7" s="23" t="n"/>
      <c r="S7" s="24" t="n"/>
      <c r="T7" s="24" t="n"/>
      <c r="U7" s="24" t="n"/>
    </row>
    <row r="8">
      <c r="A8" s="15">
        <f>IF(每周积分!A8="","",每周积分!A8)</f>
        <v/>
      </c>
      <c r="B8" s="15">
        <f>IF(每周积分!B8="","",每周积分!B8)</f>
        <v/>
      </c>
      <c r="C8" s="15">
        <f>IF(B8="","",IFERROR(SUMIF($S$3:$S$200,B8,$U$3:$U$200),0))</f>
        <v/>
      </c>
      <c r="D8" s="15">
        <f>IF(B8="","",IFERROR(IF(SUMIF($K$3:$K$200,B8,$M$3:$M$200)&lt;=0,0,IF(SUMIF($K$3:$K$200,B8,$M$3:$M$200)&gt;=100,5,2)),0))</f>
        <v/>
      </c>
      <c r="E8" s="22" t="n"/>
      <c r="F8" s="22" t="n"/>
      <c r="G8" s="17">
        <f>IF(A8="","",SUM(C8:F8))</f>
        <v/>
      </c>
      <c r="H8" s="15">
        <f>IF(A8="","",CONCATENATE("课",C8," +鼠",D8," +作业",N(E8)+N(F8)))</f>
        <v/>
      </c>
      <c r="J8" s="23" t="n"/>
      <c r="K8" s="23" t="n"/>
      <c r="L8" s="23" t="n"/>
      <c r="M8" s="23" t="n"/>
      <c r="N8" s="23" t="n"/>
      <c r="O8" s="23" t="n"/>
      <c r="P8" s="23" t="n"/>
      <c r="Q8" s="23" t="n"/>
      <c r="S8" s="24" t="n"/>
      <c r="T8" s="24" t="n"/>
      <c r="U8" s="24" t="n"/>
    </row>
    <row r="9">
      <c r="A9" s="15">
        <f>IF(每周积分!A9="","",每周积分!A9)</f>
        <v/>
      </c>
      <c r="B9" s="15">
        <f>IF(每周积分!B9="","",每周积分!B9)</f>
        <v/>
      </c>
      <c r="C9" s="15">
        <f>IF(B9="","",IFERROR(SUMIF($S$3:$S$200,B9,$U$3:$U$200),0))</f>
        <v/>
      </c>
      <c r="D9" s="15">
        <f>IF(B9="","",IFERROR(IF(SUMIF($K$3:$K$200,B9,$M$3:$M$200)&lt;=0,0,IF(SUMIF($K$3:$K$200,B9,$M$3:$M$200)&gt;=100,5,2)),0))</f>
        <v/>
      </c>
      <c r="E9" s="22" t="n"/>
      <c r="F9" s="22" t="n"/>
      <c r="G9" s="17">
        <f>IF(A9="","",SUM(C9:F9))</f>
        <v/>
      </c>
      <c r="H9" s="15">
        <f>IF(A9="","",CONCATENATE("课",C9," +鼠",D9," +作业",N(E9)+N(F9)))</f>
        <v/>
      </c>
      <c r="J9" s="23" t="n"/>
      <c r="K9" s="23" t="n"/>
      <c r="L9" s="23" t="n"/>
      <c r="M9" s="23" t="n"/>
      <c r="N9" s="23" t="n"/>
      <c r="O9" s="23" t="n"/>
      <c r="P9" s="23" t="n"/>
      <c r="Q9" s="23" t="n"/>
      <c r="S9" s="24" t="n"/>
      <c r="T9" s="24" t="n"/>
      <c r="U9" s="24" t="n"/>
    </row>
    <row r="10">
      <c r="A10" s="15">
        <f>IF(每周积分!A10="","",每周积分!A10)</f>
        <v/>
      </c>
      <c r="B10" s="15">
        <f>IF(每周积分!B10="","",每周积分!B10)</f>
        <v/>
      </c>
      <c r="C10" s="15">
        <f>IF(B10="","",IFERROR(SUMIF($S$3:$S$200,B10,$U$3:$U$200),0))</f>
        <v/>
      </c>
      <c r="D10" s="15">
        <f>IF(B10="","",IFERROR(IF(SUMIF($K$3:$K$200,B10,$M$3:$M$200)&lt;=0,0,IF(SUMIF($K$3:$K$200,B10,$M$3:$M$200)&gt;=100,5,2)),0))</f>
        <v/>
      </c>
      <c r="E10" s="22" t="n"/>
      <c r="F10" s="22" t="n"/>
      <c r="G10" s="17">
        <f>IF(A10="","",SUM(C10:F10))</f>
        <v/>
      </c>
      <c r="H10" s="15">
        <f>IF(A10="","",CONCATENATE("课",C10," +鼠",D10," +作业",N(E10)+N(F10)))</f>
        <v/>
      </c>
      <c r="J10" s="23" t="n"/>
      <c r="K10" s="23" t="n"/>
      <c r="L10" s="23" t="n"/>
      <c r="M10" s="23" t="n"/>
      <c r="N10" s="23" t="n"/>
      <c r="O10" s="23" t="n"/>
      <c r="P10" s="23" t="n"/>
      <c r="Q10" s="23" t="n"/>
      <c r="S10" s="24" t="n"/>
      <c r="T10" s="24" t="n"/>
      <c r="U10" s="24" t="n"/>
    </row>
    <row r="11">
      <c r="A11" s="15">
        <f>IF(每周积分!A11="","",每周积分!A11)</f>
        <v/>
      </c>
      <c r="B11" s="15">
        <f>IF(每周积分!B11="","",每周积分!B11)</f>
        <v/>
      </c>
      <c r="C11" s="15">
        <f>IF(B11="","",IFERROR(SUMIF($S$3:$S$200,B11,$U$3:$U$200),0))</f>
        <v/>
      </c>
      <c r="D11" s="15">
        <f>IF(B11="","",IFERROR(IF(SUMIF($K$3:$K$200,B11,$M$3:$M$200)&lt;=0,0,IF(SUMIF($K$3:$K$200,B11,$M$3:$M$200)&gt;=100,5,2)),0))</f>
        <v/>
      </c>
      <c r="E11" s="22" t="n"/>
      <c r="F11" s="22" t="n"/>
      <c r="G11" s="17">
        <f>IF(A11="","",SUM(C11:F11))</f>
        <v/>
      </c>
      <c r="H11" s="15">
        <f>IF(A11="","",CONCATENATE("课",C11," +鼠",D11," +作业",N(E11)+N(F11)))</f>
        <v/>
      </c>
      <c r="J11" s="23" t="n"/>
      <c r="K11" s="23" t="n"/>
      <c r="L11" s="23" t="n"/>
      <c r="M11" s="23" t="n"/>
      <c r="N11" s="23" t="n"/>
      <c r="O11" s="23" t="n"/>
      <c r="P11" s="23" t="n"/>
      <c r="Q11" s="23" t="n"/>
      <c r="S11" s="24" t="n"/>
      <c r="T11" s="24" t="n"/>
      <c r="U11" s="24" t="n"/>
    </row>
    <row r="12">
      <c r="A12" s="15">
        <f>IF(每周积分!A12="","",每周积分!A12)</f>
        <v/>
      </c>
      <c r="B12" s="15">
        <f>IF(每周积分!B12="","",每周积分!B12)</f>
        <v/>
      </c>
      <c r="C12" s="15">
        <f>IF(B12="","",IFERROR(SUMIF($S$3:$S$200,B12,$U$3:$U$200),0))</f>
        <v/>
      </c>
      <c r="D12" s="15">
        <f>IF(B12="","",IFERROR(IF(SUMIF($K$3:$K$200,B12,$M$3:$M$200)&lt;=0,0,IF(SUMIF($K$3:$K$200,B12,$M$3:$M$200)&gt;=100,5,2)),0))</f>
        <v/>
      </c>
      <c r="E12" s="22" t="n"/>
      <c r="F12" s="22" t="n"/>
      <c r="G12" s="17">
        <f>IF(A12="","",SUM(C12:F12))</f>
        <v/>
      </c>
      <c r="H12" s="15">
        <f>IF(A12="","",CONCATENATE("课",C12," +鼠",D12," +作业",N(E12)+N(F12)))</f>
        <v/>
      </c>
      <c r="J12" s="23" t="n"/>
      <c r="K12" s="23" t="n"/>
      <c r="L12" s="23" t="n"/>
      <c r="M12" s="23" t="n"/>
      <c r="N12" s="23" t="n"/>
      <c r="O12" s="23" t="n"/>
      <c r="P12" s="23" t="n"/>
      <c r="Q12" s="23" t="n"/>
      <c r="S12" s="24" t="n"/>
      <c r="T12" s="24" t="n"/>
      <c r="U12" s="24" t="n"/>
    </row>
    <row r="13">
      <c r="A13" s="15">
        <f>IF(每周积分!A13="","",每周积分!A13)</f>
        <v/>
      </c>
      <c r="B13" s="15">
        <f>IF(每周积分!B13="","",每周积分!B13)</f>
        <v/>
      </c>
      <c r="C13" s="15">
        <f>IF(B13="","",IFERROR(SUMIF($S$3:$S$200,B13,$U$3:$U$200),0))</f>
        <v/>
      </c>
      <c r="D13" s="15">
        <f>IF(B13="","",IFERROR(IF(SUMIF($K$3:$K$200,B13,$M$3:$M$200)&lt;=0,0,IF(SUMIF($K$3:$K$200,B13,$M$3:$M$200)&gt;=100,5,2)),0))</f>
        <v/>
      </c>
      <c r="E13" s="22" t="n"/>
      <c r="F13" s="22" t="n"/>
      <c r="G13" s="17">
        <f>IF(A13="","",SUM(C13:F13))</f>
        <v/>
      </c>
      <c r="H13" s="15">
        <f>IF(A13="","",CONCATENATE("课",C13," +鼠",D13," +作业",N(E13)+N(F13)))</f>
        <v/>
      </c>
      <c r="J13" s="23" t="n"/>
      <c r="K13" s="23" t="n"/>
      <c r="L13" s="23" t="n"/>
      <c r="M13" s="23" t="n"/>
      <c r="N13" s="23" t="n"/>
      <c r="O13" s="23" t="n"/>
      <c r="P13" s="23" t="n"/>
      <c r="Q13" s="23" t="n"/>
      <c r="S13" s="24" t="n"/>
      <c r="T13" s="24" t="n"/>
      <c r="U13" s="24" t="n"/>
    </row>
    <row r="14">
      <c r="A14" s="15">
        <f>IF(每周积分!A14="","",每周积分!A14)</f>
        <v/>
      </c>
      <c r="B14" s="15">
        <f>IF(每周积分!B14="","",每周积分!B14)</f>
        <v/>
      </c>
      <c r="C14" s="15">
        <f>IF(B14="","",IFERROR(SUMIF($S$3:$S$200,B14,$U$3:$U$200),0))</f>
        <v/>
      </c>
      <c r="D14" s="15">
        <f>IF(B14="","",IFERROR(IF(SUMIF($K$3:$K$200,B14,$M$3:$M$200)&lt;=0,0,IF(SUMIF($K$3:$K$200,B14,$M$3:$M$200)&gt;=100,5,2)),0))</f>
        <v/>
      </c>
      <c r="E14" s="22" t="n"/>
      <c r="F14" s="22" t="n"/>
      <c r="G14" s="17">
        <f>IF(A14="","",SUM(C14:F14))</f>
        <v/>
      </c>
      <c r="H14" s="15">
        <f>IF(A14="","",CONCATENATE("课",C14," +鼠",D14," +作业",N(E14)+N(F14)))</f>
        <v/>
      </c>
      <c r="J14" s="23" t="n"/>
      <c r="K14" s="23" t="n"/>
      <c r="L14" s="23" t="n"/>
      <c r="M14" s="23" t="n"/>
      <c r="N14" s="23" t="n"/>
      <c r="O14" s="23" t="n"/>
      <c r="P14" s="23" t="n"/>
      <c r="Q14" s="23" t="n"/>
      <c r="S14" s="24" t="n"/>
      <c r="T14" s="24" t="n"/>
      <c r="U14" s="24" t="n"/>
    </row>
    <row r="15">
      <c r="A15" s="15">
        <f>IF(每周积分!A15="","",每周积分!A15)</f>
        <v/>
      </c>
      <c r="B15" s="15">
        <f>IF(每周积分!B15="","",每周积分!B15)</f>
        <v/>
      </c>
      <c r="C15" s="15">
        <f>IF(B15="","",IFERROR(SUMIF($S$3:$S$200,B15,$U$3:$U$200),0))</f>
        <v/>
      </c>
      <c r="D15" s="15">
        <f>IF(B15="","",IFERROR(IF(SUMIF($K$3:$K$200,B15,$M$3:$M$200)&lt;=0,0,IF(SUMIF($K$3:$K$200,B15,$M$3:$M$200)&gt;=100,5,2)),0))</f>
        <v/>
      </c>
      <c r="E15" s="22" t="n"/>
      <c r="F15" s="22" t="n"/>
      <c r="G15" s="17">
        <f>IF(A15="","",SUM(C15:F15))</f>
        <v/>
      </c>
      <c r="H15" s="15">
        <f>IF(A15="","",CONCATENATE("课",C15," +鼠",D15," +作业",N(E15)+N(F15)))</f>
        <v/>
      </c>
      <c r="J15" s="23" t="n"/>
      <c r="K15" s="23" t="n"/>
      <c r="L15" s="23" t="n"/>
      <c r="M15" s="23" t="n"/>
      <c r="N15" s="23" t="n"/>
      <c r="O15" s="23" t="n"/>
      <c r="P15" s="23" t="n"/>
      <c r="Q15" s="23" t="n"/>
      <c r="S15" s="24" t="n"/>
      <c r="T15" s="24" t="n"/>
      <c r="U15" s="24" t="n"/>
    </row>
    <row r="16">
      <c r="A16" s="15">
        <f>IF(每周积分!A16="","",每周积分!A16)</f>
        <v/>
      </c>
      <c r="B16" s="15">
        <f>IF(每周积分!B16="","",每周积分!B16)</f>
        <v/>
      </c>
      <c r="C16" s="15">
        <f>IF(B16="","",IFERROR(SUMIF($S$3:$S$200,B16,$U$3:$U$200),0))</f>
        <v/>
      </c>
      <c r="D16" s="15">
        <f>IF(B16="","",IFERROR(IF(SUMIF($K$3:$K$200,B16,$M$3:$M$200)&lt;=0,0,IF(SUMIF($K$3:$K$200,B16,$M$3:$M$200)&gt;=100,5,2)),0))</f>
        <v/>
      </c>
      <c r="E16" s="22" t="n"/>
      <c r="F16" s="22" t="n"/>
      <c r="G16" s="17">
        <f>IF(A16="","",SUM(C16:F16))</f>
        <v/>
      </c>
      <c r="H16" s="15">
        <f>IF(A16="","",CONCATENATE("课",C16," +鼠",D16," +作业",N(E16)+N(F16)))</f>
        <v/>
      </c>
      <c r="J16" s="23" t="n"/>
      <c r="K16" s="23" t="n"/>
      <c r="L16" s="23" t="n"/>
      <c r="M16" s="23" t="n"/>
      <c r="N16" s="23" t="n"/>
      <c r="O16" s="23" t="n"/>
      <c r="P16" s="23" t="n"/>
      <c r="Q16" s="23" t="n"/>
      <c r="S16" s="24" t="n"/>
      <c r="T16" s="24" t="n"/>
      <c r="U16" s="24" t="n"/>
    </row>
    <row r="17">
      <c r="A17" s="15">
        <f>IF(每周积分!A17="","",每周积分!A17)</f>
        <v/>
      </c>
      <c r="B17" s="15">
        <f>IF(每周积分!B17="","",每周积分!B17)</f>
        <v/>
      </c>
      <c r="C17" s="15">
        <f>IF(B17="","",IFERROR(SUMIF($S$3:$S$200,B17,$U$3:$U$200),0))</f>
        <v/>
      </c>
      <c r="D17" s="15">
        <f>IF(B17="","",IFERROR(IF(SUMIF($K$3:$K$200,B17,$M$3:$M$200)&lt;=0,0,IF(SUMIF($K$3:$K$200,B17,$M$3:$M$200)&gt;=100,5,2)),0))</f>
        <v/>
      </c>
      <c r="E17" s="22" t="n"/>
      <c r="F17" s="22" t="n"/>
      <c r="G17" s="17">
        <f>IF(A17="","",SUM(C17:F17))</f>
        <v/>
      </c>
      <c r="H17" s="15">
        <f>IF(A17="","",CONCATENATE("课",C17," +鼠",D17," +作业",N(E17)+N(F17)))</f>
        <v/>
      </c>
      <c r="J17" s="23" t="n"/>
      <c r="K17" s="23" t="n"/>
      <c r="L17" s="23" t="n"/>
      <c r="M17" s="23" t="n"/>
      <c r="N17" s="23" t="n"/>
      <c r="O17" s="23" t="n"/>
      <c r="P17" s="23" t="n"/>
      <c r="Q17" s="23" t="n"/>
      <c r="S17" s="24" t="n"/>
      <c r="T17" s="24" t="n"/>
      <c r="U17" s="24" t="n"/>
    </row>
    <row r="18">
      <c r="A18" s="15">
        <f>IF(每周积分!A18="","",每周积分!A18)</f>
        <v/>
      </c>
      <c r="B18" s="15">
        <f>IF(每周积分!B18="","",每周积分!B18)</f>
        <v/>
      </c>
      <c r="C18" s="15">
        <f>IF(B18="","",IFERROR(SUMIF($S$3:$S$200,B18,$U$3:$U$200),0))</f>
        <v/>
      </c>
      <c r="D18" s="15">
        <f>IF(B18="","",IFERROR(IF(SUMIF($K$3:$K$200,B18,$M$3:$M$200)&lt;=0,0,IF(SUMIF($K$3:$K$200,B18,$M$3:$M$200)&gt;=100,5,2)),0))</f>
        <v/>
      </c>
      <c r="E18" s="22" t="n"/>
      <c r="F18" s="22" t="n"/>
      <c r="G18" s="17">
        <f>IF(A18="","",SUM(C18:F18))</f>
        <v/>
      </c>
      <c r="H18" s="15">
        <f>IF(A18="","",CONCATENATE("课",C18," +鼠",D18," +作业",N(E18)+N(F18)))</f>
        <v/>
      </c>
      <c r="J18" s="23" t="n"/>
      <c r="K18" s="23" t="n"/>
      <c r="L18" s="23" t="n"/>
      <c r="M18" s="23" t="n"/>
      <c r="N18" s="23" t="n"/>
      <c r="O18" s="23" t="n"/>
      <c r="P18" s="23" t="n"/>
      <c r="Q18" s="23" t="n"/>
      <c r="S18" s="24" t="n"/>
      <c r="T18" s="24" t="n"/>
      <c r="U18" s="24" t="n"/>
    </row>
    <row r="19">
      <c r="A19" s="15">
        <f>IF(每周积分!A19="","",每周积分!A19)</f>
        <v/>
      </c>
      <c r="B19" s="15">
        <f>IF(每周积分!B19="","",每周积分!B19)</f>
        <v/>
      </c>
      <c r="C19" s="15">
        <f>IF(B19="","",IFERROR(SUMIF($S$3:$S$200,B19,$U$3:$U$200),0))</f>
        <v/>
      </c>
      <c r="D19" s="15">
        <f>IF(B19="","",IFERROR(IF(SUMIF($K$3:$K$200,B19,$M$3:$M$200)&lt;=0,0,IF(SUMIF($K$3:$K$200,B19,$M$3:$M$200)&gt;=100,5,2)),0))</f>
        <v/>
      </c>
      <c r="E19" s="22" t="n"/>
      <c r="F19" s="22" t="n"/>
      <c r="G19" s="17">
        <f>IF(A19="","",SUM(C19:F19))</f>
        <v/>
      </c>
      <c r="H19" s="15">
        <f>IF(A19="","",CONCATENATE("课",C19," +鼠",D19," +作业",N(E19)+N(F19)))</f>
        <v/>
      </c>
      <c r="J19" s="23" t="n"/>
      <c r="K19" s="23" t="n"/>
      <c r="L19" s="23" t="n"/>
      <c r="M19" s="23" t="n"/>
      <c r="N19" s="23" t="n"/>
      <c r="O19" s="23" t="n"/>
      <c r="P19" s="23" t="n"/>
      <c r="Q19" s="23" t="n"/>
      <c r="S19" s="24" t="n"/>
      <c r="T19" s="24" t="n"/>
      <c r="U19" s="24" t="n"/>
    </row>
    <row r="20">
      <c r="A20" s="15">
        <f>IF(每周积分!A20="","",每周积分!A20)</f>
        <v/>
      </c>
      <c r="B20" s="15">
        <f>IF(每周积分!B20="","",每周积分!B20)</f>
        <v/>
      </c>
      <c r="C20" s="15">
        <f>IF(B20="","",IFERROR(SUMIF($S$3:$S$200,B20,$U$3:$U$200),0))</f>
        <v/>
      </c>
      <c r="D20" s="15">
        <f>IF(B20="","",IFERROR(IF(SUMIF($K$3:$K$200,B20,$M$3:$M$200)&lt;=0,0,IF(SUMIF($K$3:$K$200,B20,$M$3:$M$200)&gt;=100,5,2)),0))</f>
        <v/>
      </c>
      <c r="E20" s="22" t="n"/>
      <c r="F20" s="22" t="n"/>
      <c r="G20" s="17">
        <f>IF(A20="","",SUM(C20:F20))</f>
        <v/>
      </c>
      <c r="H20" s="15">
        <f>IF(A20="","",CONCATENATE("课",C20," +鼠",D20," +作业",N(E20)+N(F20)))</f>
        <v/>
      </c>
      <c r="J20" s="23" t="n"/>
      <c r="K20" s="23" t="n"/>
      <c r="L20" s="23" t="n"/>
      <c r="M20" s="23" t="n"/>
      <c r="N20" s="23" t="n"/>
      <c r="O20" s="23" t="n"/>
      <c r="P20" s="23" t="n"/>
      <c r="Q20" s="23" t="n"/>
      <c r="S20" s="24" t="n"/>
      <c r="T20" s="24" t="n"/>
      <c r="U20" s="24" t="n"/>
    </row>
    <row r="21">
      <c r="A21" s="15">
        <f>IF(每周积分!A21="","",每周积分!A21)</f>
        <v/>
      </c>
      <c r="B21" s="15">
        <f>IF(每周积分!B21="","",每周积分!B21)</f>
        <v/>
      </c>
      <c r="C21" s="15">
        <f>IF(B21="","",IFERROR(SUMIF($S$3:$S$200,B21,$U$3:$U$200),0))</f>
        <v/>
      </c>
      <c r="D21" s="15">
        <f>IF(B21="","",IFERROR(IF(SUMIF($K$3:$K$200,B21,$M$3:$M$200)&lt;=0,0,IF(SUMIF($K$3:$K$200,B21,$M$3:$M$200)&gt;=100,5,2)),0))</f>
        <v/>
      </c>
      <c r="E21" s="22" t="n"/>
      <c r="F21" s="22" t="n"/>
      <c r="G21" s="17">
        <f>IF(A21="","",SUM(C21:F21))</f>
        <v/>
      </c>
      <c r="H21" s="15">
        <f>IF(A21="","",CONCATENATE("课",C21," +鼠",D21," +作业",N(E21)+N(F21)))</f>
        <v/>
      </c>
      <c r="J21" s="23" t="n"/>
      <c r="K21" s="23" t="n"/>
      <c r="L21" s="23" t="n"/>
      <c r="M21" s="23" t="n"/>
      <c r="N21" s="23" t="n"/>
      <c r="O21" s="23" t="n"/>
      <c r="P21" s="23" t="n"/>
      <c r="Q21" s="23" t="n"/>
      <c r="S21" s="24" t="n"/>
      <c r="T21" s="24" t="n"/>
      <c r="U21" s="24" t="n"/>
    </row>
    <row r="22">
      <c r="A22" s="15">
        <f>IF(每周积分!A22="","",每周积分!A22)</f>
        <v/>
      </c>
      <c r="B22" s="15">
        <f>IF(每周积分!B22="","",每周积分!B22)</f>
        <v/>
      </c>
      <c r="C22" s="15">
        <f>IF(B22="","",IFERROR(SUMIF($S$3:$S$200,B22,$U$3:$U$200),0))</f>
        <v/>
      </c>
      <c r="D22" s="15">
        <f>IF(B22="","",IFERROR(IF(SUMIF($K$3:$K$200,B22,$M$3:$M$200)&lt;=0,0,IF(SUMIF($K$3:$K$200,B22,$M$3:$M$200)&gt;=100,5,2)),0))</f>
        <v/>
      </c>
      <c r="E22" s="22" t="n"/>
      <c r="F22" s="22" t="n"/>
      <c r="G22" s="17">
        <f>IF(A22="","",SUM(C22:F22))</f>
        <v/>
      </c>
      <c r="H22" s="15">
        <f>IF(A22="","",CONCATENATE("课",C22," +鼠",D22," +作业",N(E22)+N(F22)))</f>
        <v/>
      </c>
      <c r="J22" s="23" t="n"/>
      <c r="K22" s="23" t="n"/>
      <c r="L22" s="23" t="n"/>
      <c r="M22" s="23" t="n"/>
      <c r="N22" s="23" t="n"/>
      <c r="O22" s="23" t="n"/>
      <c r="P22" s="23" t="n"/>
      <c r="Q22" s="23" t="n"/>
      <c r="S22" s="24" t="n"/>
      <c r="T22" s="24" t="n"/>
      <c r="U22" s="24" t="n"/>
    </row>
    <row r="23">
      <c r="A23" s="15">
        <f>IF(每周积分!A23="","",每周积分!A23)</f>
        <v/>
      </c>
      <c r="B23" s="15">
        <f>IF(每周积分!B23="","",每周积分!B23)</f>
        <v/>
      </c>
      <c r="C23" s="15">
        <f>IF(B23="","",IFERROR(SUMIF($S$3:$S$200,B23,$U$3:$U$200),0))</f>
        <v/>
      </c>
      <c r="D23" s="15">
        <f>IF(B23="","",IFERROR(IF(SUMIF($K$3:$K$200,B23,$M$3:$M$200)&lt;=0,0,IF(SUMIF($K$3:$K$200,B23,$M$3:$M$200)&gt;=100,5,2)),0))</f>
        <v/>
      </c>
      <c r="E23" s="22" t="n"/>
      <c r="F23" s="22" t="n"/>
      <c r="G23" s="17">
        <f>IF(A23="","",SUM(C23:F23))</f>
        <v/>
      </c>
      <c r="H23" s="15">
        <f>IF(A23="","",CONCATENATE("课",C23," +鼠",D23," +作业",N(E23)+N(F23)))</f>
        <v/>
      </c>
      <c r="J23" s="23" t="n"/>
      <c r="K23" s="23" t="n"/>
      <c r="L23" s="23" t="n"/>
      <c r="M23" s="23" t="n"/>
      <c r="N23" s="23" t="n"/>
      <c r="O23" s="23" t="n"/>
      <c r="P23" s="23" t="n"/>
      <c r="Q23" s="23" t="n"/>
      <c r="S23" s="24" t="n"/>
      <c r="T23" s="24" t="n"/>
      <c r="U23" s="24" t="n"/>
    </row>
    <row r="24">
      <c r="A24" s="15">
        <f>IF(每周积分!A24="","",每周积分!A24)</f>
        <v/>
      </c>
      <c r="B24" s="15">
        <f>IF(每周积分!B24="","",每周积分!B24)</f>
        <v/>
      </c>
      <c r="C24" s="15">
        <f>IF(B24="","",IFERROR(SUMIF($S$3:$S$200,B24,$U$3:$U$200),0))</f>
        <v/>
      </c>
      <c r="D24" s="15">
        <f>IF(B24="","",IFERROR(IF(SUMIF($K$3:$K$200,B24,$M$3:$M$200)&lt;=0,0,IF(SUMIF($K$3:$K$200,B24,$M$3:$M$200)&gt;=100,5,2)),0))</f>
        <v/>
      </c>
      <c r="E24" s="22" t="n"/>
      <c r="F24" s="22" t="n"/>
      <c r="G24" s="17">
        <f>IF(A24="","",SUM(C24:F24))</f>
        <v/>
      </c>
      <c r="H24" s="15">
        <f>IF(A24="","",CONCATENATE("课",C24," +鼠",D24," +作业",N(E24)+N(F24)))</f>
        <v/>
      </c>
      <c r="J24" s="23" t="n"/>
      <c r="K24" s="23" t="n"/>
      <c r="L24" s="23" t="n"/>
      <c r="M24" s="23" t="n"/>
      <c r="N24" s="23" t="n"/>
      <c r="O24" s="23" t="n"/>
      <c r="P24" s="23" t="n"/>
      <c r="Q24" s="23" t="n"/>
      <c r="S24" s="24" t="n"/>
      <c r="T24" s="24" t="n"/>
      <c r="U24" s="24" t="n"/>
    </row>
    <row r="25">
      <c r="A25" s="15">
        <f>IF(每周积分!A25="","",每周积分!A25)</f>
        <v/>
      </c>
      <c r="B25" s="15">
        <f>IF(每周积分!B25="","",每周积分!B25)</f>
        <v/>
      </c>
      <c r="C25" s="15">
        <f>IF(B25="","",IFERROR(SUMIF($S$3:$S$200,B25,$U$3:$U$200),0))</f>
        <v/>
      </c>
      <c r="D25" s="15">
        <f>IF(B25="","",IFERROR(IF(SUMIF($K$3:$K$200,B25,$M$3:$M$200)&lt;=0,0,IF(SUMIF($K$3:$K$200,B25,$M$3:$M$200)&gt;=100,5,2)),0))</f>
        <v/>
      </c>
      <c r="E25" s="22" t="n"/>
      <c r="F25" s="22" t="n"/>
      <c r="G25" s="17">
        <f>IF(A25="","",SUM(C25:F25))</f>
        <v/>
      </c>
      <c r="H25" s="15">
        <f>IF(A25="","",CONCATENATE("课",C25," +鼠",D25," +作业",N(E25)+N(F25)))</f>
        <v/>
      </c>
      <c r="J25" s="23" t="n"/>
      <c r="K25" s="23" t="n"/>
      <c r="L25" s="23" t="n"/>
      <c r="M25" s="23" t="n"/>
      <c r="N25" s="23" t="n"/>
      <c r="O25" s="23" t="n"/>
      <c r="P25" s="23" t="n"/>
      <c r="Q25" s="23" t="n"/>
      <c r="S25" s="24" t="n"/>
      <c r="T25" s="24" t="n"/>
      <c r="U25" s="24" t="n"/>
    </row>
    <row r="26">
      <c r="A26" s="15">
        <f>IF(每周积分!A26="","",每周积分!A26)</f>
        <v/>
      </c>
      <c r="B26" s="15">
        <f>IF(每周积分!B26="","",每周积分!B26)</f>
        <v/>
      </c>
      <c r="C26" s="15">
        <f>IF(B26="","",IFERROR(SUMIF($S$3:$S$200,B26,$U$3:$U$200),0))</f>
        <v/>
      </c>
      <c r="D26" s="15">
        <f>IF(B26="","",IFERROR(IF(SUMIF($K$3:$K$200,B26,$M$3:$M$200)&lt;=0,0,IF(SUMIF($K$3:$K$200,B26,$M$3:$M$200)&gt;=100,5,2)),0))</f>
        <v/>
      </c>
      <c r="E26" s="22" t="n"/>
      <c r="F26" s="22" t="n"/>
      <c r="G26" s="17">
        <f>IF(A26="","",SUM(C26:F26))</f>
        <v/>
      </c>
      <c r="H26" s="15">
        <f>IF(A26="","",CONCATENATE("课",C26," +鼠",D26," +作业",N(E26)+N(F26)))</f>
        <v/>
      </c>
      <c r="J26" s="23" t="n"/>
      <c r="K26" s="23" t="n"/>
      <c r="L26" s="23" t="n"/>
      <c r="M26" s="23" t="n"/>
      <c r="N26" s="23" t="n"/>
      <c r="O26" s="23" t="n"/>
      <c r="P26" s="23" t="n"/>
      <c r="Q26" s="23" t="n"/>
      <c r="S26" s="24" t="n"/>
      <c r="T26" s="24" t="n"/>
      <c r="U26" s="24" t="n"/>
    </row>
    <row r="27">
      <c r="A27" s="15">
        <f>IF(每周积分!A27="","",每周积分!A27)</f>
        <v/>
      </c>
      <c r="B27" s="15">
        <f>IF(每周积分!B27="","",每周积分!B27)</f>
        <v/>
      </c>
      <c r="C27" s="15">
        <f>IF(B27="","",IFERROR(SUMIF($S$3:$S$200,B27,$U$3:$U$200),0))</f>
        <v/>
      </c>
      <c r="D27" s="15">
        <f>IF(B27="","",IFERROR(IF(SUMIF($K$3:$K$200,B27,$M$3:$M$200)&lt;=0,0,IF(SUMIF($K$3:$K$200,B27,$M$3:$M$200)&gt;=100,5,2)),0))</f>
        <v/>
      </c>
      <c r="E27" s="22" t="n"/>
      <c r="F27" s="22" t="n"/>
      <c r="G27" s="17">
        <f>IF(A27="","",SUM(C27:F27))</f>
        <v/>
      </c>
      <c r="H27" s="15">
        <f>IF(A27="","",CONCATENATE("课",C27," +鼠",D27," +作业",N(E27)+N(F27)))</f>
        <v/>
      </c>
      <c r="J27" s="23" t="n"/>
      <c r="K27" s="23" t="n"/>
      <c r="L27" s="23" t="n"/>
      <c r="M27" s="23" t="n"/>
      <c r="N27" s="23" t="n"/>
      <c r="O27" s="23" t="n"/>
      <c r="P27" s="23" t="n"/>
      <c r="Q27" s="23" t="n"/>
      <c r="S27" s="24" t="n"/>
      <c r="T27" s="24" t="n"/>
      <c r="U27" s="24" t="n"/>
    </row>
    <row r="28">
      <c r="A28" s="15">
        <f>IF(每周积分!A28="","",每周积分!A28)</f>
        <v/>
      </c>
      <c r="B28" s="15">
        <f>IF(每周积分!B28="","",每周积分!B28)</f>
        <v/>
      </c>
      <c r="C28" s="15">
        <f>IF(B28="","",IFERROR(SUMIF($S$3:$S$200,B28,$U$3:$U$200),0))</f>
        <v/>
      </c>
      <c r="D28" s="15">
        <f>IF(B28="","",IFERROR(IF(SUMIF($K$3:$K$200,B28,$M$3:$M$200)&lt;=0,0,IF(SUMIF($K$3:$K$200,B28,$M$3:$M$200)&gt;=100,5,2)),0))</f>
        <v/>
      </c>
      <c r="E28" s="22" t="n"/>
      <c r="F28" s="22" t="n"/>
      <c r="G28" s="17">
        <f>IF(A28="","",SUM(C28:F28))</f>
        <v/>
      </c>
      <c r="H28" s="15">
        <f>IF(A28="","",CONCATENATE("课",C28," +鼠",D28," +作业",N(E28)+N(F28)))</f>
        <v/>
      </c>
      <c r="J28" s="23" t="n"/>
      <c r="K28" s="23" t="n"/>
      <c r="L28" s="23" t="n"/>
      <c r="M28" s="23" t="n"/>
      <c r="N28" s="23" t="n"/>
      <c r="O28" s="23" t="n"/>
      <c r="P28" s="23" t="n"/>
      <c r="Q28" s="23" t="n"/>
      <c r="S28" s="24" t="n"/>
      <c r="T28" s="24" t="n"/>
      <c r="U28" s="24" t="n"/>
    </row>
    <row r="29">
      <c r="A29" s="15">
        <f>IF(每周积分!A29="","",每周积分!A29)</f>
        <v/>
      </c>
      <c r="B29" s="15">
        <f>IF(每周积分!B29="","",每周积分!B29)</f>
        <v/>
      </c>
      <c r="C29" s="15">
        <f>IF(B29="","",IFERROR(SUMIF($S$3:$S$200,B29,$U$3:$U$200),0))</f>
        <v/>
      </c>
      <c r="D29" s="15">
        <f>IF(B29="","",IFERROR(IF(SUMIF($K$3:$K$200,B29,$M$3:$M$200)&lt;=0,0,IF(SUMIF($K$3:$K$200,B29,$M$3:$M$200)&gt;=100,5,2)),0))</f>
        <v/>
      </c>
      <c r="E29" s="22" t="n"/>
      <c r="F29" s="22" t="n"/>
      <c r="G29" s="17">
        <f>IF(A29="","",SUM(C29:F29))</f>
        <v/>
      </c>
      <c r="H29" s="15">
        <f>IF(A29="","",CONCATENATE("课",C29," +鼠",D29," +作业",N(E29)+N(F29)))</f>
        <v/>
      </c>
      <c r="J29" s="23" t="n"/>
      <c r="K29" s="23" t="n"/>
      <c r="L29" s="23" t="n"/>
      <c r="M29" s="23" t="n"/>
      <c r="N29" s="23" t="n"/>
      <c r="O29" s="23" t="n"/>
      <c r="P29" s="23" t="n"/>
      <c r="Q29" s="23" t="n"/>
      <c r="S29" s="24" t="n"/>
      <c r="T29" s="24" t="n"/>
      <c r="U29" s="24" t="n"/>
    </row>
    <row r="30">
      <c r="A30" s="15">
        <f>IF(每周积分!A30="","",每周积分!A30)</f>
        <v/>
      </c>
      <c r="B30" s="15">
        <f>IF(每周积分!B30="","",每周积分!B30)</f>
        <v/>
      </c>
      <c r="C30" s="15">
        <f>IF(B30="","",IFERROR(SUMIF($S$3:$S$200,B30,$U$3:$U$200),0))</f>
        <v/>
      </c>
      <c r="D30" s="15">
        <f>IF(B30="","",IFERROR(IF(SUMIF($K$3:$K$200,B30,$M$3:$M$200)&lt;=0,0,IF(SUMIF($K$3:$K$200,B30,$M$3:$M$200)&gt;=100,5,2)),0))</f>
        <v/>
      </c>
      <c r="E30" s="22" t="n"/>
      <c r="F30" s="22" t="n"/>
      <c r="G30" s="17">
        <f>IF(A30="","",SUM(C30:F30))</f>
        <v/>
      </c>
      <c r="H30" s="15">
        <f>IF(A30="","",CONCATENATE("课",C30," +鼠",D30," +作业",N(E30)+N(F30)))</f>
        <v/>
      </c>
      <c r="J30" s="23" t="n"/>
      <c r="K30" s="23" t="n"/>
      <c r="L30" s="23" t="n"/>
      <c r="M30" s="23" t="n"/>
      <c r="N30" s="23" t="n"/>
      <c r="O30" s="23" t="n"/>
      <c r="P30" s="23" t="n"/>
      <c r="Q30" s="23" t="n"/>
      <c r="S30" s="24" t="n"/>
      <c r="T30" s="24" t="n"/>
      <c r="U30" s="24" t="n"/>
    </row>
    <row r="31">
      <c r="A31" s="15">
        <f>IF(每周积分!A31="","",每周积分!A31)</f>
        <v/>
      </c>
      <c r="B31" s="15">
        <f>IF(每周积分!B31="","",每周积分!B31)</f>
        <v/>
      </c>
      <c r="C31" s="15">
        <f>IF(B31="","",IFERROR(SUMIF($S$3:$S$200,B31,$U$3:$U$200),0))</f>
        <v/>
      </c>
      <c r="D31" s="15">
        <f>IF(B31="","",IFERROR(IF(SUMIF($K$3:$K$200,B31,$M$3:$M$200)&lt;=0,0,IF(SUMIF($K$3:$K$200,B31,$M$3:$M$200)&gt;=100,5,2)),0))</f>
        <v/>
      </c>
      <c r="E31" s="22" t="n"/>
      <c r="F31" s="22" t="n"/>
      <c r="G31" s="17">
        <f>IF(A31="","",SUM(C31:F31))</f>
        <v/>
      </c>
      <c r="H31" s="15">
        <f>IF(A31="","",CONCATENATE("课",C31," +鼠",D31," +作业",N(E31)+N(F31)))</f>
        <v/>
      </c>
      <c r="J31" s="23" t="n"/>
      <c r="K31" s="23" t="n"/>
      <c r="L31" s="23" t="n"/>
      <c r="M31" s="23" t="n"/>
      <c r="N31" s="23" t="n"/>
      <c r="O31" s="23" t="n"/>
      <c r="P31" s="23" t="n"/>
      <c r="Q31" s="23" t="n"/>
      <c r="S31" s="24" t="n"/>
      <c r="T31" s="24" t="n"/>
      <c r="U31" s="24" t="n"/>
    </row>
    <row r="32">
      <c r="A32" s="15">
        <f>IF(每周积分!A32="","",每周积分!A32)</f>
        <v/>
      </c>
      <c r="B32" s="15">
        <f>IF(每周积分!B32="","",每周积分!B32)</f>
        <v/>
      </c>
      <c r="C32" s="15">
        <f>IF(B32="","",IFERROR(SUMIF($S$3:$S$200,B32,$U$3:$U$200),0))</f>
        <v/>
      </c>
      <c r="D32" s="15">
        <f>IF(B32="","",IFERROR(IF(SUMIF($K$3:$K$200,B32,$M$3:$M$200)&lt;=0,0,IF(SUMIF($K$3:$K$200,B32,$M$3:$M$200)&gt;=100,5,2)),0))</f>
        <v/>
      </c>
      <c r="E32" s="22" t="n"/>
      <c r="F32" s="22" t="n"/>
      <c r="G32" s="17">
        <f>IF(A32="","",SUM(C32:F32))</f>
        <v/>
      </c>
      <c r="H32" s="15">
        <f>IF(A32="","",CONCATENATE("课",C32," +鼠",D32," +作业",N(E32)+N(F32)))</f>
        <v/>
      </c>
      <c r="J32" s="23" t="n"/>
      <c r="K32" s="23" t="n"/>
      <c r="L32" s="23" t="n"/>
      <c r="M32" s="23" t="n"/>
      <c r="N32" s="23" t="n"/>
      <c r="O32" s="23" t="n"/>
      <c r="P32" s="23" t="n"/>
      <c r="Q32" s="23" t="n"/>
      <c r="S32" s="24" t="n"/>
      <c r="T32" s="24" t="n"/>
      <c r="U32" s="24" t="n"/>
    </row>
    <row r="33">
      <c r="A33" s="15">
        <f>IF(每周积分!A33="","",每周积分!A33)</f>
        <v/>
      </c>
      <c r="B33" s="15">
        <f>IF(每周积分!B33="","",每周积分!B33)</f>
        <v/>
      </c>
      <c r="C33" s="15">
        <f>IF(B33="","",IFERROR(SUMIF($S$3:$S$200,B33,$U$3:$U$200),0))</f>
        <v/>
      </c>
      <c r="D33" s="15">
        <f>IF(B33="","",IFERROR(IF(SUMIF($K$3:$K$200,B33,$M$3:$M$200)&lt;=0,0,IF(SUMIF($K$3:$K$200,B33,$M$3:$M$200)&gt;=100,5,2)),0))</f>
        <v/>
      </c>
      <c r="E33" s="22" t="n"/>
      <c r="F33" s="22" t="n"/>
      <c r="G33" s="17">
        <f>IF(A33="","",SUM(C33:F33))</f>
        <v/>
      </c>
      <c r="H33" s="15">
        <f>IF(A33="","",CONCATENATE("课",C33," +鼠",D33," +作业",N(E33)+N(F33)))</f>
        <v/>
      </c>
      <c r="J33" s="23" t="n"/>
      <c r="K33" s="23" t="n"/>
      <c r="L33" s="23" t="n"/>
      <c r="M33" s="23" t="n"/>
      <c r="N33" s="23" t="n"/>
      <c r="O33" s="23" t="n"/>
      <c r="P33" s="23" t="n"/>
      <c r="Q33" s="23" t="n"/>
      <c r="S33" s="24" t="n"/>
      <c r="T33" s="24" t="n"/>
      <c r="U33" s="24" t="n"/>
    </row>
    <row r="34">
      <c r="A34" s="15">
        <f>IF(每周积分!A34="","",每周积分!A34)</f>
        <v/>
      </c>
      <c r="B34" s="15">
        <f>IF(每周积分!B34="","",每周积分!B34)</f>
        <v/>
      </c>
      <c r="C34" s="15">
        <f>IF(B34="","",IFERROR(SUMIF($S$3:$S$200,B34,$U$3:$U$200),0))</f>
        <v/>
      </c>
      <c r="D34" s="15">
        <f>IF(B34="","",IFERROR(IF(SUMIF($K$3:$K$200,B34,$M$3:$M$200)&lt;=0,0,IF(SUMIF($K$3:$K$200,B34,$M$3:$M$200)&gt;=100,5,2)),0))</f>
        <v/>
      </c>
      <c r="E34" s="22" t="n"/>
      <c r="F34" s="22" t="n"/>
      <c r="G34" s="17">
        <f>IF(A34="","",SUM(C34:F34))</f>
        <v/>
      </c>
      <c r="H34" s="15">
        <f>IF(A34="","",CONCATENATE("课",C34," +鼠",D34," +作业",N(E34)+N(F34)))</f>
        <v/>
      </c>
      <c r="J34" s="23" t="n"/>
      <c r="K34" s="23" t="n"/>
      <c r="L34" s="23" t="n"/>
      <c r="M34" s="23" t="n"/>
      <c r="N34" s="23" t="n"/>
      <c r="O34" s="23" t="n"/>
      <c r="P34" s="23" t="n"/>
      <c r="Q34" s="23" t="n"/>
      <c r="S34" s="24" t="n"/>
      <c r="T34" s="24" t="n"/>
      <c r="U34" s="24" t="n"/>
    </row>
    <row r="35">
      <c r="A35" s="15">
        <f>IF(每周积分!A35="","",每周积分!A35)</f>
        <v/>
      </c>
      <c r="B35" s="15">
        <f>IF(每周积分!B35="","",每周积分!B35)</f>
        <v/>
      </c>
      <c r="C35" s="15">
        <f>IF(B35="","",IFERROR(SUMIF($S$3:$S$200,B35,$U$3:$U$200),0))</f>
        <v/>
      </c>
      <c r="D35" s="15">
        <f>IF(B35="","",IFERROR(IF(SUMIF($K$3:$K$200,B35,$M$3:$M$200)&lt;=0,0,IF(SUMIF($K$3:$K$200,B35,$M$3:$M$200)&gt;=100,5,2)),0))</f>
        <v/>
      </c>
      <c r="E35" s="22" t="n"/>
      <c r="F35" s="22" t="n"/>
      <c r="G35" s="17">
        <f>IF(A35="","",SUM(C35:F35))</f>
        <v/>
      </c>
      <c r="H35" s="15">
        <f>IF(A35="","",CONCATENATE("课",C35," +鼠",D35," +作业",N(E35)+N(F35)))</f>
        <v/>
      </c>
      <c r="J35" s="23" t="n"/>
      <c r="K35" s="23" t="n"/>
      <c r="L35" s="23" t="n"/>
      <c r="M35" s="23" t="n"/>
      <c r="N35" s="23" t="n"/>
      <c r="O35" s="23" t="n"/>
      <c r="P35" s="23" t="n"/>
      <c r="Q35" s="23" t="n"/>
      <c r="S35" s="24" t="n"/>
      <c r="T35" s="24" t="n"/>
      <c r="U35" s="24" t="n"/>
    </row>
    <row r="36">
      <c r="A36" s="15">
        <f>IF(每周积分!A36="","",每周积分!A36)</f>
        <v/>
      </c>
      <c r="B36" s="15">
        <f>IF(每周积分!B36="","",每周积分!B36)</f>
        <v/>
      </c>
      <c r="C36" s="15">
        <f>IF(B36="","",IFERROR(SUMIF($S$3:$S$200,B36,$U$3:$U$200),0))</f>
        <v/>
      </c>
      <c r="D36" s="15">
        <f>IF(B36="","",IFERROR(IF(SUMIF($K$3:$K$200,B36,$M$3:$M$200)&lt;=0,0,IF(SUMIF($K$3:$K$200,B36,$M$3:$M$200)&gt;=100,5,2)),0))</f>
        <v/>
      </c>
      <c r="E36" s="22" t="n"/>
      <c r="F36" s="22" t="n"/>
      <c r="G36" s="17">
        <f>IF(A36="","",SUM(C36:F36))</f>
        <v/>
      </c>
      <c r="H36" s="15">
        <f>IF(A36="","",CONCATENATE("课",C36," +鼠",D36," +作业",N(E36)+N(F36)))</f>
        <v/>
      </c>
      <c r="J36" s="23" t="n"/>
      <c r="K36" s="23" t="n"/>
      <c r="L36" s="23" t="n"/>
      <c r="M36" s="23" t="n"/>
      <c r="N36" s="23" t="n"/>
      <c r="O36" s="23" t="n"/>
      <c r="P36" s="23" t="n"/>
      <c r="Q36" s="23" t="n"/>
      <c r="S36" s="24" t="n"/>
      <c r="T36" s="24" t="n"/>
      <c r="U36" s="24" t="n"/>
    </row>
    <row r="37">
      <c r="A37" s="15">
        <f>IF(每周积分!A37="","",每周积分!A37)</f>
        <v/>
      </c>
      <c r="B37" s="15">
        <f>IF(每周积分!B37="","",每周积分!B37)</f>
        <v/>
      </c>
      <c r="C37" s="15">
        <f>IF(B37="","",IFERROR(SUMIF($S$3:$S$200,B37,$U$3:$U$200),0))</f>
        <v/>
      </c>
      <c r="D37" s="15">
        <f>IF(B37="","",IFERROR(IF(SUMIF($K$3:$K$200,B37,$M$3:$M$200)&lt;=0,0,IF(SUMIF($K$3:$K$200,B37,$M$3:$M$200)&gt;=100,5,2)),0))</f>
        <v/>
      </c>
      <c r="E37" s="22" t="n"/>
      <c r="F37" s="22" t="n"/>
      <c r="G37" s="17">
        <f>IF(A37="","",SUM(C37:F37))</f>
        <v/>
      </c>
      <c r="H37" s="15">
        <f>IF(A37="","",CONCATENATE("课",C37," +鼠",D37," +作业",N(E37)+N(F37)))</f>
        <v/>
      </c>
      <c r="J37" s="23" t="n"/>
      <c r="K37" s="23" t="n"/>
      <c r="L37" s="23" t="n"/>
      <c r="M37" s="23" t="n"/>
      <c r="N37" s="23" t="n"/>
      <c r="O37" s="23" t="n"/>
      <c r="P37" s="23" t="n"/>
      <c r="Q37" s="23" t="n"/>
      <c r="S37" s="24" t="n"/>
      <c r="T37" s="24" t="n"/>
      <c r="U37" s="24" t="n"/>
    </row>
    <row r="38">
      <c r="A38" s="15">
        <f>IF(每周积分!A38="","",每周积分!A38)</f>
        <v/>
      </c>
      <c r="B38" s="15">
        <f>IF(每周积分!B38="","",每周积分!B38)</f>
        <v/>
      </c>
      <c r="C38" s="15">
        <f>IF(B38="","",IFERROR(SUMIF($S$3:$S$200,B38,$U$3:$U$200),0))</f>
        <v/>
      </c>
      <c r="D38" s="15">
        <f>IF(B38="","",IFERROR(IF(SUMIF($K$3:$K$200,B38,$M$3:$M$200)&lt;=0,0,IF(SUMIF($K$3:$K$200,B38,$M$3:$M$200)&gt;=100,5,2)),0))</f>
        <v/>
      </c>
      <c r="E38" s="22" t="n"/>
      <c r="F38" s="22" t="n"/>
      <c r="G38" s="17">
        <f>IF(A38="","",SUM(C38:F38))</f>
        <v/>
      </c>
      <c r="H38" s="15">
        <f>IF(A38="","",CONCATENATE("课",C38," +鼠",D38," +作业",N(E38)+N(F38)))</f>
        <v/>
      </c>
      <c r="J38" s="23" t="n"/>
      <c r="K38" s="23" t="n"/>
      <c r="L38" s="23" t="n"/>
      <c r="M38" s="23" t="n"/>
      <c r="N38" s="23" t="n"/>
      <c r="O38" s="23" t="n"/>
      <c r="P38" s="23" t="n"/>
      <c r="Q38" s="23" t="n"/>
      <c r="S38" s="24" t="n"/>
      <c r="T38" s="24" t="n"/>
      <c r="U38" s="24" t="n"/>
    </row>
    <row r="39">
      <c r="A39" s="15">
        <f>IF(每周积分!A39="","",每周积分!A39)</f>
        <v/>
      </c>
      <c r="B39" s="15">
        <f>IF(每周积分!B39="","",每周积分!B39)</f>
        <v/>
      </c>
      <c r="C39" s="15">
        <f>IF(B39="","",IFERROR(SUMIF($S$3:$S$200,B39,$U$3:$U$200),0))</f>
        <v/>
      </c>
      <c r="D39" s="15">
        <f>IF(B39="","",IFERROR(IF(SUMIF($K$3:$K$200,B39,$M$3:$M$200)&lt;=0,0,IF(SUMIF($K$3:$K$200,B39,$M$3:$M$200)&gt;=100,5,2)),0))</f>
        <v/>
      </c>
      <c r="E39" s="22" t="n"/>
      <c r="F39" s="22" t="n"/>
      <c r="G39" s="17">
        <f>IF(A39="","",SUM(C39:F39))</f>
        <v/>
      </c>
      <c r="H39" s="15">
        <f>IF(A39="","",CONCATENATE("课",C39," +鼠",D39," +作业",N(E39)+N(F39)))</f>
        <v/>
      </c>
      <c r="J39" s="23" t="n"/>
      <c r="K39" s="23" t="n"/>
      <c r="L39" s="23" t="n"/>
      <c r="M39" s="23" t="n"/>
      <c r="N39" s="23" t="n"/>
      <c r="O39" s="23" t="n"/>
      <c r="P39" s="23" t="n"/>
      <c r="Q39" s="23" t="n"/>
      <c r="S39" s="24" t="n"/>
      <c r="T39" s="24" t="n"/>
      <c r="U39" s="24" t="n"/>
    </row>
    <row r="40">
      <c r="A40" s="15">
        <f>IF(每周积分!A40="","",每周积分!A40)</f>
        <v/>
      </c>
      <c r="B40" s="15">
        <f>IF(每周积分!B40="","",每周积分!B40)</f>
        <v/>
      </c>
      <c r="C40" s="15">
        <f>IF(B40="","",IFERROR(SUMIF($S$3:$S$200,B40,$U$3:$U$200),0))</f>
        <v/>
      </c>
      <c r="D40" s="15">
        <f>IF(B40="","",IFERROR(IF(SUMIF($K$3:$K$200,B40,$M$3:$M$200)&lt;=0,0,IF(SUMIF($K$3:$K$200,B40,$M$3:$M$200)&gt;=100,5,2)),0))</f>
        <v/>
      </c>
      <c r="E40" s="22" t="n"/>
      <c r="F40" s="22" t="n"/>
      <c r="G40" s="17">
        <f>IF(A40="","",SUM(C40:F40))</f>
        <v/>
      </c>
      <c r="H40" s="15">
        <f>IF(A40="","",CONCATENATE("课",C40," +鼠",D40," +作业",N(E40)+N(F40)))</f>
        <v/>
      </c>
      <c r="J40" s="23" t="n"/>
      <c r="K40" s="23" t="n"/>
      <c r="L40" s="23" t="n"/>
      <c r="M40" s="23" t="n"/>
      <c r="N40" s="23" t="n"/>
      <c r="O40" s="23" t="n"/>
      <c r="P40" s="23" t="n"/>
      <c r="Q40" s="23" t="n"/>
      <c r="S40" s="24" t="n"/>
      <c r="T40" s="24" t="n"/>
      <c r="U40" s="24" t="n"/>
    </row>
    <row r="41">
      <c r="A41" s="15">
        <f>IF(每周积分!A41="","",每周积分!A41)</f>
        <v/>
      </c>
      <c r="B41" s="15">
        <f>IF(每周积分!B41="","",每周积分!B41)</f>
        <v/>
      </c>
      <c r="C41" s="15">
        <f>IF(B41="","",IFERROR(SUMIF($S$3:$S$200,B41,$U$3:$U$200),0))</f>
        <v/>
      </c>
      <c r="D41" s="15">
        <f>IF(B41="","",IFERROR(IF(SUMIF($K$3:$K$200,B41,$M$3:$M$200)&lt;=0,0,IF(SUMIF($K$3:$K$200,B41,$M$3:$M$200)&gt;=100,5,2)),0))</f>
        <v/>
      </c>
      <c r="E41" s="22" t="n"/>
      <c r="F41" s="22" t="n"/>
      <c r="G41" s="17">
        <f>IF(A41="","",SUM(C41:F41))</f>
        <v/>
      </c>
      <c r="H41" s="15">
        <f>IF(A41="","",CONCATENATE("课",C41," +鼠",D41," +作业",N(E41)+N(F41)))</f>
        <v/>
      </c>
      <c r="J41" s="23" t="n"/>
      <c r="K41" s="23" t="n"/>
      <c r="L41" s="23" t="n"/>
      <c r="M41" s="23" t="n"/>
      <c r="N41" s="23" t="n"/>
      <c r="O41" s="23" t="n"/>
      <c r="P41" s="23" t="n"/>
      <c r="Q41" s="23" t="n"/>
      <c r="S41" s="24" t="n"/>
      <c r="T41" s="24" t="n"/>
      <c r="U41" s="24" t="n"/>
    </row>
    <row r="42">
      <c r="A42" s="15">
        <f>IF(每周积分!A42="","",每周积分!A42)</f>
        <v/>
      </c>
      <c r="B42" s="15">
        <f>IF(每周积分!B42="","",每周积分!B42)</f>
        <v/>
      </c>
      <c r="C42" s="15">
        <f>IF(B42="","",IFERROR(SUMIF($S$3:$S$200,B42,$U$3:$U$200),0))</f>
        <v/>
      </c>
      <c r="D42" s="15">
        <f>IF(B42="","",IFERROR(IF(SUMIF($K$3:$K$200,B42,$M$3:$M$200)&lt;=0,0,IF(SUMIF($K$3:$K$200,B42,$M$3:$M$200)&gt;=100,5,2)),0))</f>
        <v/>
      </c>
      <c r="E42" s="22" t="n"/>
      <c r="F42" s="22" t="n"/>
      <c r="G42" s="17">
        <f>IF(A42="","",SUM(C42:F42))</f>
        <v/>
      </c>
      <c r="H42" s="15">
        <f>IF(A42="","",CONCATENATE("课",C42," +鼠",D42," +作业",N(E42)+N(F42)))</f>
        <v/>
      </c>
      <c r="J42" s="23" t="n"/>
      <c r="K42" s="23" t="n"/>
      <c r="L42" s="23" t="n"/>
      <c r="M42" s="23" t="n"/>
      <c r="N42" s="23" t="n"/>
      <c r="O42" s="23" t="n"/>
      <c r="P42" s="23" t="n"/>
      <c r="Q42" s="23" t="n"/>
      <c r="S42" s="24" t="n"/>
      <c r="T42" s="24" t="n"/>
      <c r="U42" s="24" t="n"/>
    </row>
    <row r="43">
      <c r="A43" s="15">
        <f>IF(每周积分!A43="","",每周积分!A43)</f>
        <v/>
      </c>
      <c r="B43" s="15">
        <f>IF(每周积分!B43="","",每周积分!B43)</f>
        <v/>
      </c>
      <c r="C43" s="15">
        <f>IF(B43="","",IFERROR(SUMIF($S$3:$S$200,B43,$U$3:$U$200),0))</f>
        <v/>
      </c>
      <c r="D43" s="15">
        <f>IF(B43="","",IFERROR(IF(SUMIF($K$3:$K$200,B43,$M$3:$M$200)&lt;=0,0,IF(SUMIF($K$3:$K$200,B43,$M$3:$M$200)&gt;=100,5,2)),0))</f>
        <v/>
      </c>
      <c r="E43" s="22" t="n"/>
      <c r="F43" s="22" t="n"/>
      <c r="G43" s="17">
        <f>IF(A43="","",SUM(C43:F43))</f>
        <v/>
      </c>
      <c r="H43" s="15">
        <f>IF(A43="","",CONCATENATE("课",C43," +鼠",D43," +作业",N(E43)+N(F43)))</f>
        <v/>
      </c>
      <c r="J43" s="23" t="n"/>
      <c r="K43" s="23" t="n"/>
      <c r="L43" s="23" t="n"/>
      <c r="M43" s="23" t="n"/>
      <c r="N43" s="23" t="n"/>
      <c r="O43" s="23" t="n"/>
      <c r="P43" s="23" t="n"/>
      <c r="Q43" s="23" t="n"/>
      <c r="S43" s="24" t="n"/>
      <c r="T43" s="24" t="n"/>
      <c r="U43" s="24" t="n"/>
    </row>
    <row r="44">
      <c r="A44" s="15">
        <f>IF(每周积分!A44="","",每周积分!A44)</f>
        <v/>
      </c>
      <c r="B44" s="15">
        <f>IF(每周积分!B44="","",每周积分!B44)</f>
        <v/>
      </c>
      <c r="C44" s="15">
        <f>IF(B44="","",IFERROR(SUMIF($S$3:$S$200,B44,$U$3:$U$200),0))</f>
        <v/>
      </c>
      <c r="D44" s="15">
        <f>IF(B44="","",IFERROR(IF(SUMIF($K$3:$K$200,B44,$M$3:$M$200)&lt;=0,0,IF(SUMIF($K$3:$K$200,B44,$M$3:$M$200)&gt;=100,5,2)),0))</f>
        <v/>
      </c>
      <c r="E44" s="22" t="n"/>
      <c r="F44" s="22" t="n"/>
      <c r="G44" s="17">
        <f>IF(A44="","",SUM(C44:F44))</f>
        <v/>
      </c>
      <c r="H44" s="15">
        <f>IF(A44="","",CONCATENATE("课",C44," +鼠",D44," +作业",N(E44)+N(F44)))</f>
        <v/>
      </c>
      <c r="J44" s="23" t="n"/>
      <c r="K44" s="23" t="n"/>
      <c r="L44" s="23" t="n"/>
      <c r="M44" s="23" t="n"/>
      <c r="N44" s="23" t="n"/>
      <c r="O44" s="23" t="n"/>
      <c r="P44" s="23" t="n"/>
      <c r="Q44" s="23" t="n"/>
      <c r="S44" s="24" t="n"/>
      <c r="T44" s="24" t="n"/>
      <c r="U44" s="24" t="n"/>
    </row>
    <row r="45">
      <c r="A45" s="15">
        <f>IF(每周积分!A45="","",每周积分!A45)</f>
        <v/>
      </c>
      <c r="B45" s="15">
        <f>IF(每周积分!B45="","",每周积分!B45)</f>
        <v/>
      </c>
      <c r="C45" s="15">
        <f>IF(B45="","",IFERROR(SUMIF($S$3:$S$200,B45,$U$3:$U$200),0))</f>
        <v/>
      </c>
      <c r="D45" s="15">
        <f>IF(B45="","",IFERROR(IF(SUMIF($K$3:$K$200,B45,$M$3:$M$200)&lt;=0,0,IF(SUMIF($K$3:$K$200,B45,$M$3:$M$200)&gt;=100,5,2)),0))</f>
        <v/>
      </c>
      <c r="E45" s="22" t="n"/>
      <c r="F45" s="22" t="n"/>
      <c r="G45" s="17">
        <f>IF(A45="","",SUM(C45:F45))</f>
        <v/>
      </c>
      <c r="H45" s="15">
        <f>IF(A45="","",CONCATENATE("课",C45," +鼠",D45," +作业",N(E45)+N(F45)))</f>
        <v/>
      </c>
      <c r="J45" s="23" t="n"/>
      <c r="K45" s="23" t="n"/>
      <c r="L45" s="23" t="n"/>
      <c r="M45" s="23" t="n"/>
      <c r="N45" s="23" t="n"/>
      <c r="O45" s="23" t="n"/>
      <c r="P45" s="23" t="n"/>
      <c r="Q45" s="23" t="n"/>
      <c r="S45" s="24" t="n"/>
      <c r="T45" s="24" t="n"/>
      <c r="U45" s="24" t="n"/>
    </row>
    <row r="46">
      <c r="A46" s="15">
        <f>IF(每周积分!A46="","",每周积分!A46)</f>
        <v/>
      </c>
      <c r="B46" s="15">
        <f>IF(每周积分!B46="","",每周积分!B46)</f>
        <v/>
      </c>
      <c r="C46" s="15">
        <f>IF(B46="","",IFERROR(SUMIF($S$3:$S$200,B46,$U$3:$U$200),0))</f>
        <v/>
      </c>
      <c r="D46" s="15">
        <f>IF(B46="","",IFERROR(IF(SUMIF($K$3:$K$200,B46,$M$3:$M$200)&lt;=0,0,IF(SUMIF($K$3:$K$200,B46,$M$3:$M$200)&gt;=100,5,2)),0))</f>
        <v/>
      </c>
      <c r="E46" s="22" t="n"/>
      <c r="F46" s="22" t="n"/>
      <c r="G46" s="17">
        <f>IF(A46="","",SUM(C46:F46))</f>
        <v/>
      </c>
      <c r="H46" s="15">
        <f>IF(A46="","",CONCATENATE("课",C46," +鼠",D46," +作业",N(E46)+N(F46)))</f>
        <v/>
      </c>
      <c r="J46" s="23" t="n"/>
      <c r="K46" s="23" t="n"/>
      <c r="L46" s="23" t="n"/>
      <c r="M46" s="23" t="n"/>
      <c r="N46" s="23" t="n"/>
      <c r="O46" s="23" t="n"/>
      <c r="P46" s="23" t="n"/>
      <c r="Q46" s="23" t="n"/>
      <c r="S46" s="24" t="n"/>
      <c r="T46" s="24" t="n"/>
      <c r="U46" s="24" t="n"/>
    </row>
    <row r="47">
      <c r="A47" s="15">
        <f>IF(每周积分!A47="","",每周积分!A47)</f>
        <v/>
      </c>
      <c r="B47" s="15">
        <f>IF(每周积分!B47="","",每周积分!B47)</f>
        <v/>
      </c>
      <c r="C47" s="15">
        <f>IF(B47="","",IFERROR(SUMIF($S$3:$S$200,B47,$U$3:$U$200),0))</f>
        <v/>
      </c>
      <c r="D47" s="15">
        <f>IF(B47="","",IFERROR(IF(SUMIF($K$3:$K$200,B47,$M$3:$M$200)&lt;=0,0,IF(SUMIF($K$3:$K$200,B47,$M$3:$M$200)&gt;=100,5,2)),0))</f>
        <v/>
      </c>
      <c r="E47" s="22" t="n"/>
      <c r="F47" s="22" t="n"/>
      <c r="G47" s="17">
        <f>IF(A47="","",SUM(C47:F47))</f>
        <v/>
      </c>
      <c r="H47" s="15">
        <f>IF(A47="","",CONCATENATE("课",C47," +鼠",D47," +作业",N(E47)+N(F47)))</f>
        <v/>
      </c>
      <c r="J47" s="23" t="n"/>
      <c r="K47" s="23" t="n"/>
      <c r="L47" s="23" t="n"/>
      <c r="M47" s="23" t="n"/>
      <c r="N47" s="23" t="n"/>
      <c r="O47" s="23" t="n"/>
      <c r="P47" s="23" t="n"/>
      <c r="Q47" s="23" t="n"/>
      <c r="S47" s="24" t="n"/>
      <c r="T47" s="24" t="n"/>
      <c r="U47" s="24" t="n"/>
    </row>
    <row r="48">
      <c r="A48" s="15">
        <f>IF(每周积分!A48="","",每周积分!A48)</f>
        <v/>
      </c>
      <c r="B48" s="15">
        <f>IF(每周积分!B48="","",每周积分!B48)</f>
        <v/>
      </c>
      <c r="C48" s="15">
        <f>IF(B48="","",IFERROR(SUMIF($S$3:$S$200,B48,$U$3:$U$200),0))</f>
        <v/>
      </c>
      <c r="D48" s="15">
        <f>IF(B48="","",IFERROR(IF(SUMIF($K$3:$K$200,B48,$M$3:$M$200)&lt;=0,0,IF(SUMIF($K$3:$K$200,B48,$M$3:$M$200)&gt;=100,5,2)),0))</f>
        <v/>
      </c>
      <c r="E48" s="22" t="n"/>
      <c r="F48" s="22" t="n"/>
      <c r="G48" s="17">
        <f>IF(A48="","",SUM(C48:F48))</f>
        <v/>
      </c>
      <c r="H48" s="15">
        <f>IF(A48="","",CONCATENATE("课",C48," +鼠",D48," +作业",N(E48)+N(F48)))</f>
        <v/>
      </c>
      <c r="J48" s="23" t="n"/>
      <c r="K48" s="23" t="n"/>
      <c r="L48" s="23" t="n"/>
      <c r="M48" s="23" t="n"/>
      <c r="N48" s="23" t="n"/>
      <c r="O48" s="23" t="n"/>
      <c r="P48" s="23" t="n"/>
      <c r="Q48" s="23" t="n"/>
      <c r="S48" s="24" t="n"/>
      <c r="T48" s="24" t="n"/>
      <c r="U48" s="24" t="n"/>
    </row>
    <row r="49">
      <c r="A49" s="15">
        <f>IF(每周积分!A49="","",每周积分!A49)</f>
        <v/>
      </c>
      <c r="B49" s="15">
        <f>IF(每周积分!B49="","",每周积分!B49)</f>
        <v/>
      </c>
      <c r="C49" s="15">
        <f>IF(B49="","",IFERROR(SUMIF($S$3:$S$200,B49,$U$3:$U$200),0))</f>
        <v/>
      </c>
      <c r="D49" s="15">
        <f>IF(B49="","",IFERROR(IF(SUMIF($K$3:$K$200,B49,$M$3:$M$200)&lt;=0,0,IF(SUMIF($K$3:$K$200,B49,$M$3:$M$200)&gt;=100,5,2)),0))</f>
        <v/>
      </c>
      <c r="E49" s="22" t="n"/>
      <c r="F49" s="22" t="n"/>
      <c r="G49" s="17">
        <f>IF(A49="","",SUM(C49:F49))</f>
        <v/>
      </c>
      <c r="H49" s="15">
        <f>IF(A49="","",CONCATENATE("课",C49," +鼠",D49," +作业",N(E49)+N(F49)))</f>
        <v/>
      </c>
      <c r="J49" s="23" t="n"/>
      <c r="K49" s="23" t="n"/>
      <c r="L49" s="23" t="n"/>
      <c r="M49" s="23" t="n"/>
      <c r="N49" s="23" t="n"/>
      <c r="O49" s="23" t="n"/>
      <c r="P49" s="23" t="n"/>
      <c r="Q49" s="23" t="n"/>
      <c r="S49" s="24" t="n"/>
      <c r="T49" s="24" t="n"/>
      <c r="U49" s="24" t="n"/>
    </row>
    <row r="50">
      <c r="A50" s="15">
        <f>IF(每周积分!A50="","",每周积分!A50)</f>
        <v/>
      </c>
      <c r="B50" s="15">
        <f>IF(每周积分!B50="","",每周积分!B50)</f>
        <v/>
      </c>
      <c r="C50" s="15">
        <f>IF(B50="","",IFERROR(SUMIF($S$3:$S$200,B50,$U$3:$U$200),0))</f>
        <v/>
      </c>
      <c r="D50" s="15">
        <f>IF(B50="","",IFERROR(IF(SUMIF($K$3:$K$200,B50,$M$3:$M$200)&lt;=0,0,IF(SUMIF($K$3:$K$200,B50,$M$3:$M$200)&gt;=100,5,2)),0))</f>
        <v/>
      </c>
      <c r="E50" s="22" t="n"/>
      <c r="F50" s="22" t="n"/>
      <c r="G50" s="17">
        <f>IF(A50="","",SUM(C50:F50))</f>
        <v/>
      </c>
      <c r="H50" s="15">
        <f>IF(A50="","",CONCATENATE("课",C50," +鼠",D50," +作业",N(E50)+N(F50)))</f>
        <v/>
      </c>
      <c r="J50" s="23" t="n"/>
      <c r="K50" s="23" t="n"/>
      <c r="L50" s="23" t="n"/>
      <c r="M50" s="23" t="n"/>
      <c r="N50" s="23" t="n"/>
      <c r="O50" s="23" t="n"/>
      <c r="P50" s="23" t="n"/>
      <c r="Q50" s="23" t="n"/>
      <c r="S50" s="24" t="n"/>
      <c r="T50" s="24" t="n"/>
      <c r="U50" s="24" t="n"/>
    </row>
    <row r="51">
      <c r="A51" s="15">
        <f>IF(每周积分!A51="","",每周积分!A51)</f>
        <v/>
      </c>
      <c r="B51" s="15">
        <f>IF(每周积分!B51="","",每周积分!B51)</f>
        <v/>
      </c>
      <c r="C51" s="15">
        <f>IF(B51="","",IFERROR(SUMIF($S$3:$S$200,B51,$U$3:$U$200),0))</f>
        <v/>
      </c>
      <c r="D51" s="15">
        <f>IF(B51="","",IFERROR(IF(SUMIF($K$3:$K$200,B51,$M$3:$M$200)&lt;=0,0,IF(SUMIF($K$3:$K$200,B51,$M$3:$M$200)&gt;=100,5,2)),0))</f>
        <v/>
      </c>
      <c r="E51" s="22" t="n"/>
      <c r="F51" s="22" t="n"/>
      <c r="G51" s="17">
        <f>IF(A51="","",SUM(C51:F51))</f>
        <v/>
      </c>
      <c r="H51" s="15">
        <f>IF(A51="","",CONCATENATE("课",C51," +鼠",D51," +作业",N(E51)+N(F51)))</f>
        <v/>
      </c>
      <c r="J51" s="23" t="n"/>
      <c r="K51" s="23" t="n"/>
      <c r="L51" s="23" t="n"/>
      <c r="M51" s="23" t="n"/>
      <c r="N51" s="23" t="n"/>
      <c r="O51" s="23" t="n"/>
      <c r="P51" s="23" t="n"/>
      <c r="Q51" s="23" t="n"/>
      <c r="S51" s="24" t="n"/>
      <c r="T51" s="24" t="n"/>
      <c r="U51" s="24" t="n"/>
    </row>
    <row r="52">
      <c r="A52" s="15">
        <f>IF(每周积分!A52="","",每周积分!A52)</f>
        <v/>
      </c>
      <c r="B52" s="15">
        <f>IF(每周积分!B52="","",每周积分!B52)</f>
        <v/>
      </c>
      <c r="C52" s="15">
        <f>IF(B52="","",IFERROR(SUMIF($S$3:$S$200,B52,$U$3:$U$200),0))</f>
        <v/>
      </c>
      <c r="D52" s="15">
        <f>IF(B52="","",IFERROR(IF(SUMIF($K$3:$K$200,B52,$M$3:$M$200)&lt;=0,0,IF(SUMIF($K$3:$K$200,B52,$M$3:$M$200)&gt;=100,5,2)),0))</f>
        <v/>
      </c>
      <c r="E52" s="22" t="n"/>
      <c r="F52" s="22" t="n"/>
      <c r="G52" s="17">
        <f>IF(A52="","",SUM(C52:F52))</f>
        <v/>
      </c>
      <c r="H52" s="15">
        <f>IF(A52="","",CONCATENATE("课",C52," +鼠",D52," +作业",N(E52)+N(F52)))</f>
        <v/>
      </c>
      <c r="J52" s="23" t="n"/>
      <c r="K52" s="23" t="n"/>
      <c r="L52" s="23" t="n"/>
      <c r="M52" s="23" t="n"/>
      <c r="N52" s="23" t="n"/>
      <c r="O52" s="23" t="n"/>
      <c r="P52" s="23" t="n"/>
      <c r="Q52" s="23" t="n"/>
      <c r="S52" s="24" t="n"/>
      <c r="T52" s="24" t="n"/>
      <c r="U52" s="24" t="n"/>
    </row>
    <row r="53">
      <c r="J53" s="23" t="n"/>
      <c r="K53" s="23" t="n"/>
      <c r="L53" s="23" t="n"/>
      <c r="M53" s="23" t="n"/>
      <c r="N53" s="23" t="n"/>
      <c r="O53" s="23" t="n"/>
      <c r="P53" s="23" t="n"/>
      <c r="Q53" s="23" t="n"/>
      <c r="S53" s="24" t="n"/>
      <c r="T53" s="24" t="n"/>
      <c r="U53" s="24" t="n"/>
    </row>
    <row r="54">
      <c r="J54" s="23" t="n"/>
      <c r="K54" s="23" t="n"/>
      <c r="L54" s="23" t="n"/>
      <c r="M54" s="23" t="n"/>
      <c r="N54" s="23" t="n"/>
      <c r="O54" s="23" t="n"/>
      <c r="P54" s="23" t="n"/>
      <c r="Q54" s="23" t="n"/>
      <c r="S54" s="24" t="n"/>
      <c r="T54" s="24" t="n"/>
      <c r="U54" s="24" t="n"/>
    </row>
    <row r="55">
      <c r="J55" s="23" t="n"/>
      <c r="K55" s="23" t="n"/>
      <c r="L55" s="23" t="n"/>
      <c r="M55" s="23" t="n"/>
      <c r="N55" s="23" t="n"/>
      <c r="O55" s="23" t="n"/>
      <c r="P55" s="23" t="n"/>
      <c r="Q55" s="23" t="n"/>
      <c r="S55" s="24" t="n"/>
      <c r="T55" s="24" t="n"/>
      <c r="U55" s="24" t="n"/>
    </row>
    <row r="56">
      <c r="J56" s="23" t="n"/>
      <c r="K56" s="23" t="n"/>
      <c r="L56" s="23" t="n"/>
      <c r="M56" s="23" t="n"/>
      <c r="N56" s="23" t="n"/>
      <c r="O56" s="23" t="n"/>
      <c r="P56" s="23" t="n"/>
      <c r="Q56" s="23" t="n"/>
      <c r="S56" s="24" t="n"/>
      <c r="T56" s="24" t="n"/>
      <c r="U56" s="24" t="n"/>
    </row>
    <row r="57">
      <c r="J57" s="23" t="n"/>
      <c r="K57" s="23" t="n"/>
      <c r="L57" s="23" t="n"/>
      <c r="M57" s="23" t="n"/>
      <c r="N57" s="23" t="n"/>
      <c r="O57" s="23" t="n"/>
      <c r="P57" s="23" t="n"/>
      <c r="Q57" s="23" t="n"/>
      <c r="S57" s="24" t="n"/>
      <c r="T57" s="24" t="n"/>
      <c r="U57" s="24" t="n"/>
    </row>
    <row r="58">
      <c r="J58" s="23" t="n"/>
      <c r="K58" s="23" t="n"/>
      <c r="L58" s="23" t="n"/>
      <c r="M58" s="23" t="n"/>
      <c r="N58" s="23" t="n"/>
      <c r="O58" s="23" t="n"/>
      <c r="P58" s="23" t="n"/>
      <c r="Q58" s="23" t="n"/>
      <c r="S58" s="24" t="n"/>
      <c r="T58" s="24" t="n"/>
      <c r="U58" s="24" t="n"/>
    </row>
    <row r="59">
      <c r="J59" s="23" t="n"/>
      <c r="K59" s="23" t="n"/>
      <c r="L59" s="23" t="n"/>
      <c r="M59" s="23" t="n"/>
      <c r="N59" s="23" t="n"/>
      <c r="O59" s="23" t="n"/>
      <c r="P59" s="23" t="n"/>
      <c r="Q59" s="23" t="n"/>
      <c r="S59" s="24" t="n"/>
      <c r="T59" s="24" t="n"/>
      <c r="U59" s="24" t="n"/>
    </row>
    <row r="60">
      <c r="J60" s="23" t="n"/>
      <c r="K60" s="23" t="n"/>
      <c r="L60" s="23" t="n"/>
      <c r="M60" s="23" t="n"/>
      <c r="N60" s="23" t="n"/>
      <c r="O60" s="23" t="n"/>
      <c r="P60" s="23" t="n"/>
      <c r="Q60" s="23" t="n"/>
      <c r="S60" s="24" t="n"/>
      <c r="T60" s="24" t="n"/>
      <c r="U60" s="24" t="n"/>
    </row>
    <row r="61">
      <c r="J61" s="23" t="n"/>
      <c r="K61" s="23" t="n"/>
      <c r="L61" s="23" t="n"/>
      <c r="M61" s="23" t="n"/>
      <c r="N61" s="23" t="n"/>
      <c r="O61" s="23" t="n"/>
      <c r="P61" s="23" t="n"/>
      <c r="Q61" s="23" t="n"/>
      <c r="S61" s="24" t="n"/>
      <c r="T61" s="24" t="n"/>
      <c r="U61" s="24" t="n"/>
    </row>
    <row r="62">
      <c r="J62" s="23" t="n"/>
      <c r="K62" s="23" t="n"/>
      <c r="L62" s="23" t="n"/>
      <c r="M62" s="23" t="n"/>
      <c r="N62" s="23" t="n"/>
      <c r="O62" s="23" t="n"/>
      <c r="P62" s="23" t="n"/>
      <c r="Q62" s="23" t="n"/>
      <c r="S62" s="24" t="n"/>
      <c r="T62" s="24" t="n"/>
      <c r="U62" s="24" t="n"/>
    </row>
    <row r="63">
      <c r="J63" s="23" t="n"/>
      <c r="K63" s="23" t="n"/>
      <c r="L63" s="23" t="n"/>
      <c r="M63" s="23" t="n"/>
      <c r="N63" s="23" t="n"/>
      <c r="O63" s="23" t="n"/>
      <c r="P63" s="23" t="n"/>
      <c r="Q63" s="23" t="n"/>
      <c r="S63" s="24" t="n"/>
      <c r="T63" s="24" t="n"/>
      <c r="U63" s="24" t="n"/>
    </row>
    <row r="64">
      <c r="J64" s="23" t="n"/>
      <c r="K64" s="23" t="n"/>
      <c r="L64" s="23" t="n"/>
      <c r="M64" s="23" t="n"/>
      <c r="N64" s="23" t="n"/>
      <c r="O64" s="23" t="n"/>
      <c r="P64" s="23" t="n"/>
      <c r="Q64" s="23" t="n"/>
      <c r="S64" s="24" t="n"/>
      <c r="T64" s="24" t="n"/>
      <c r="U64" s="24" t="n"/>
    </row>
    <row r="65">
      <c r="J65" s="23" t="n"/>
      <c r="K65" s="23" t="n"/>
      <c r="L65" s="23" t="n"/>
      <c r="M65" s="23" t="n"/>
      <c r="N65" s="23" t="n"/>
      <c r="O65" s="23" t="n"/>
      <c r="P65" s="23" t="n"/>
      <c r="Q65" s="23" t="n"/>
      <c r="S65" s="24" t="n"/>
      <c r="T65" s="24" t="n"/>
      <c r="U65" s="24" t="n"/>
    </row>
    <row r="66">
      <c r="J66" s="23" t="n"/>
      <c r="K66" s="23" t="n"/>
      <c r="L66" s="23" t="n"/>
      <c r="M66" s="23" t="n"/>
      <c r="N66" s="23" t="n"/>
      <c r="O66" s="23" t="n"/>
      <c r="P66" s="23" t="n"/>
      <c r="Q66" s="23" t="n"/>
      <c r="S66" s="24" t="n"/>
      <c r="T66" s="24" t="n"/>
      <c r="U66" s="24" t="n"/>
    </row>
    <row r="67">
      <c r="J67" s="23" t="n"/>
      <c r="K67" s="23" t="n"/>
      <c r="L67" s="23" t="n"/>
      <c r="M67" s="23" t="n"/>
      <c r="N67" s="23" t="n"/>
      <c r="O67" s="23" t="n"/>
      <c r="P67" s="23" t="n"/>
      <c r="Q67" s="23" t="n"/>
      <c r="S67" s="24" t="n"/>
      <c r="T67" s="24" t="n"/>
      <c r="U67" s="24" t="n"/>
    </row>
    <row r="68">
      <c r="J68" s="23" t="n"/>
      <c r="K68" s="23" t="n"/>
      <c r="L68" s="23" t="n"/>
      <c r="M68" s="23" t="n"/>
      <c r="N68" s="23" t="n"/>
      <c r="O68" s="23" t="n"/>
      <c r="P68" s="23" t="n"/>
      <c r="Q68" s="23" t="n"/>
      <c r="S68" s="24" t="n"/>
      <c r="T68" s="24" t="n"/>
      <c r="U68" s="24" t="n"/>
    </row>
    <row r="69">
      <c r="J69" s="23" t="n"/>
      <c r="K69" s="23" t="n"/>
      <c r="L69" s="23" t="n"/>
      <c r="M69" s="23" t="n"/>
      <c r="N69" s="23" t="n"/>
      <c r="O69" s="23" t="n"/>
      <c r="P69" s="23" t="n"/>
      <c r="Q69" s="23" t="n"/>
      <c r="S69" s="24" t="n"/>
      <c r="T69" s="24" t="n"/>
      <c r="U69" s="24" t="n"/>
    </row>
    <row r="70">
      <c r="J70" s="23" t="n"/>
      <c r="K70" s="23" t="n"/>
      <c r="L70" s="23" t="n"/>
      <c r="M70" s="23" t="n"/>
      <c r="N70" s="23" t="n"/>
      <c r="O70" s="23" t="n"/>
      <c r="P70" s="23" t="n"/>
      <c r="Q70" s="23" t="n"/>
      <c r="S70" s="24" t="n"/>
      <c r="T70" s="24" t="n"/>
      <c r="U70" s="24" t="n"/>
    </row>
    <row r="71">
      <c r="J71" s="23" t="n"/>
      <c r="K71" s="23" t="n"/>
      <c r="L71" s="23" t="n"/>
      <c r="M71" s="23" t="n"/>
      <c r="N71" s="23" t="n"/>
      <c r="O71" s="23" t="n"/>
      <c r="P71" s="23" t="n"/>
      <c r="Q71" s="23" t="n"/>
      <c r="S71" s="24" t="n"/>
      <c r="T71" s="24" t="n"/>
      <c r="U71" s="24" t="n"/>
    </row>
    <row r="72">
      <c r="J72" s="23" t="n"/>
      <c r="K72" s="23" t="n"/>
      <c r="L72" s="23" t="n"/>
      <c r="M72" s="23" t="n"/>
      <c r="N72" s="23" t="n"/>
      <c r="O72" s="23" t="n"/>
      <c r="P72" s="23" t="n"/>
      <c r="Q72" s="23" t="n"/>
      <c r="S72" s="24" t="n"/>
      <c r="T72" s="24" t="n"/>
      <c r="U72" s="24" t="n"/>
    </row>
    <row r="73">
      <c r="J73" s="23" t="n"/>
      <c r="K73" s="23" t="n"/>
      <c r="L73" s="23" t="n"/>
      <c r="M73" s="23" t="n"/>
      <c r="N73" s="23" t="n"/>
      <c r="O73" s="23" t="n"/>
      <c r="P73" s="23" t="n"/>
      <c r="Q73" s="23" t="n"/>
      <c r="S73" s="24" t="n"/>
      <c r="T73" s="24" t="n"/>
      <c r="U73" s="24" t="n"/>
    </row>
    <row r="74">
      <c r="J74" s="23" t="n"/>
      <c r="K74" s="23" t="n"/>
      <c r="L74" s="23" t="n"/>
      <c r="M74" s="23" t="n"/>
      <c r="N74" s="23" t="n"/>
      <c r="O74" s="23" t="n"/>
      <c r="P74" s="23" t="n"/>
      <c r="Q74" s="23" t="n"/>
      <c r="S74" s="24" t="n"/>
      <c r="T74" s="24" t="n"/>
      <c r="U74" s="24" t="n"/>
    </row>
    <row r="75">
      <c r="J75" s="23" t="n"/>
      <c r="K75" s="23" t="n"/>
      <c r="L75" s="23" t="n"/>
      <c r="M75" s="23" t="n"/>
      <c r="N75" s="23" t="n"/>
      <c r="O75" s="23" t="n"/>
      <c r="P75" s="23" t="n"/>
      <c r="Q75" s="23" t="n"/>
      <c r="S75" s="24" t="n"/>
      <c r="T75" s="24" t="n"/>
      <c r="U75" s="24" t="n"/>
    </row>
    <row r="76">
      <c r="J76" s="23" t="n"/>
      <c r="K76" s="23" t="n"/>
      <c r="L76" s="23" t="n"/>
      <c r="M76" s="23" t="n"/>
      <c r="N76" s="23" t="n"/>
      <c r="O76" s="23" t="n"/>
      <c r="P76" s="23" t="n"/>
      <c r="Q76" s="23" t="n"/>
      <c r="S76" s="24" t="n"/>
      <c r="T76" s="24" t="n"/>
      <c r="U76" s="24" t="n"/>
    </row>
    <row r="77">
      <c r="J77" s="23" t="n"/>
      <c r="K77" s="23" t="n"/>
      <c r="L77" s="23" t="n"/>
      <c r="M77" s="23" t="n"/>
      <c r="N77" s="23" t="n"/>
      <c r="O77" s="23" t="n"/>
      <c r="P77" s="23" t="n"/>
      <c r="Q77" s="23" t="n"/>
      <c r="S77" s="24" t="n"/>
      <c r="T77" s="24" t="n"/>
      <c r="U77" s="24" t="n"/>
    </row>
    <row r="78">
      <c r="J78" s="23" t="n"/>
      <c r="K78" s="23" t="n"/>
      <c r="L78" s="23" t="n"/>
      <c r="M78" s="23" t="n"/>
      <c r="N78" s="23" t="n"/>
      <c r="O78" s="23" t="n"/>
      <c r="P78" s="23" t="n"/>
      <c r="Q78" s="23" t="n"/>
      <c r="S78" s="24" t="n"/>
      <c r="T78" s="24" t="n"/>
      <c r="U78" s="24" t="n"/>
    </row>
    <row r="79">
      <c r="J79" s="23" t="n"/>
      <c r="K79" s="23" t="n"/>
      <c r="L79" s="23" t="n"/>
      <c r="M79" s="23" t="n"/>
      <c r="N79" s="23" t="n"/>
      <c r="O79" s="23" t="n"/>
      <c r="P79" s="23" t="n"/>
      <c r="Q79" s="23" t="n"/>
      <c r="S79" s="24" t="n"/>
      <c r="T79" s="24" t="n"/>
      <c r="U79" s="24" t="n"/>
    </row>
    <row r="80">
      <c r="J80" s="23" t="n"/>
      <c r="K80" s="23" t="n"/>
      <c r="L80" s="23" t="n"/>
      <c r="M80" s="23" t="n"/>
      <c r="N80" s="23" t="n"/>
      <c r="O80" s="23" t="n"/>
      <c r="P80" s="23" t="n"/>
      <c r="Q80" s="23" t="n"/>
      <c r="S80" s="24" t="n"/>
      <c r="T80" s="24" t="n"/>
      <c r="U80" s="24" t="n"/>
    </row>
    <row r="81">
      <c r="J81" s="23" t="n"/>
      <c r="K81" s="23" t="n"/>
      <c r="L81" s="23" t="n"/>
      <c r="M81" s="23" t="n"/>
      <c r="N81" s="23" t="n"/>
      <c r="O81" s="23" t="n"/>
      <c r="P81" s="23" t="n"/>
      <c r="Q81" s="23" t="n"/>
      <c r="S81" s="24" t="n"/>
      <c r="T81" s="24" t="n"/>
      <c r="U81" s="24" t="n"/>
    </row>
    <row r="82">
      <c r="J82" s="23" t="n"/>
      <c r="K82" s="23" t="n"/>
      <c r="L82" s="23" t="n"/>
      <c r="M82" s="23" t="n"/>
      <c r="N82" s="23" t="n"/>
      <c r="O82" s="23" t="n"/>
      <c r="P82" s="23" t="n"/>
      <c r="Q82" s="23" t="n"/>
      <c r="S82" s="24" t="n"/>
      <c r="T82" s="24" t="n"/>
      <c r="U82" s="24" t="n"/>
    </row>
    <row r="83">
      <c r="J83" s="23" t="n"/>
      <c r="K83" s="23" t="n"/>
      <c r="L83" s="23" t="n"/>
      <c r="M83" s="23" t="n"/>
      <c r="N83" s="23" t="n"/>
      <c r="O83" s="23" t="n"/>
      <c r="P83" s="23" t="n"/>
      <c r="Q83" s="23" t="n"/>
      <c r="S83" s="24" t="n"/>
      <c r="T83" s="24" t="n"/>
      <c r="U83" s="24" t="n"/>
    </row>
    <row r="84">
      <c r="J84" s="23" t="n"/>
      <c r="K84" s="23" t="n"/>
      <c r="L84" s="23" t="n"/>
      <c r="M84" s="23" t="n"/>
      <c r="N84" s="23" t="n"/>
      <c r="O84" s="23" t="n"/>
      <c r="P84" s="23" t="n"/>
      <c r="Q84" s="23" t="n"/>
      <c r="S84" s="24" t="n"/>
      <c r="T84" s="24" t="n"/>
      <c r="U84" s="24" t="n"/>
    </row>
    <row r="85">
      <c r="J85" s="23" t="n"/>
      <c r="K85" s="23" t="n"/>
      <c r="L85" s="23" t="n"/>
      <c r="M85" s="23" t="n"/>
      <c r="N85" s="23" t="n"/>
      <c r="O85" s="23" t="n"/>
      <c r="P85" s="23" t="n"/>
      <c r="Q85" s="23" t="n"/>
      <c r="S85" s="24" t="n"/>
      <c r="T85" s="24" t="n"/>
      <c r="U85" s="24" t="n"/>
    </row>
    <row r="86">
      <c r="J86" s="23" t="n"/>
      <c r="K86" s="23" t="n"/>
      <c r="L86" s="23" t="n"/>
      <c r="M86" s="23" t="n"/>
      <c r="N86" s="23" t="n"/>
      <c r="O86" s="23" t="n"/>
      <c r="P86" s="23" t="n"/>
      <c r="Q86" s="23" t="n"/>
      <c r="S86" s="24" t="n"/>
      <c r="T86" s="24" t="n"/>
      <c r="U86" s="24" t="n"/>
    </row>
    <row r="87">
      <c r="J87" s="23" t="n"/>
      <c r="K87" s="23" t="n"/>
      <c r="L87" s="23" t="n"/>
      <c r="M87" s="23" t="n"/>
      <c r="N87" s="23" t="n"/>
      <c r="O87" s="23" t="n"/>
      <c r="P87" s="23" t="n"/>
      <c r="Q87" s="23" t="n"/>
      <c r="S87" s="24" t="n"/>
      <c r="T87" s="24" t="n"/>
      <c r="U87" s="24" t="n"/>
    </row>
    <row r="88">
      <c r="J88" s="23" t="n"/>
      <c r="K88" s="23" t="n"/>
      <c r="L88" s="23" t="n"/>
      <c r="M88" s="23" t="n"/>
      <c r="N88" s="23" t="n"/>
      <c r="O88" s="23" t="n"/>
      <c r="P88" s="23" t="n"/>
      <c r="Q88" s="23" t="n"/>
      <c r="S88" s="24" t="n"/>
      <c r="T88" s="24" t="n"/>
      <c r="U88" s="24" t="n"/>
    </row>
    <row r="89">
      <c r="J89" s="23" t="n"/>
      <c r="K89" s="23" t="n"/>
      <c r="L89" s="23" t="n"/>
      <c r="M89" s="23" t="n"/>
      <c r="N89" s="23" t="n"/>
      <c r="O89" s="23" t="n"/>
      <c r="P89" s="23" t="n"/>
      <c r="Q89" s="23" t="n"/>
      <c r="S89" s="24" t="n"/>
      <c r="T89" s="24" t="n"/>
      <c r="U89" s="24" t="n"/>
    </row>
    <row r="90">
      <c r="J90" s="23" t="n"/>
      <c r="K90" s="23" t="n"/>
      <c r="L90" s="23" t="n"/>
      <c r="M90" s="23" t="n"/>
      <c r="N90" s="23" t="n"/>
      <c r="O90" s="23" t="n"/>
      <c r="P90" s="23" t="n"/>
      <c r="Q90" s="23" t="n"/>
      <c r="S90" s="24" t="n"/>
      <c r="T90" s="24" t="n"/>
      <c r="U90" s="24" t="n"/>
    </row>
    <row r="91">
      <c r="J91" s="23" t="n"/>
      <c r="K91" s="23" t="n"/>
      <c r="L91" s="23" t="n"/>
      <c r="M91" s="23" t="n"/>
      <c r="N91" s="23" t="n"/>
      <c r="O91" s="23" t="n"/>
      <c r="P91" s="23" t="n"/>
      <c r="Q91" s="23" t="n"/>
      <c r="S91" s="24" t="n"/>
      <c r="T91" s="24" t="n"/>
      <c r="U91" s="24" t="n"/>
    </row>
    <row r="92">
      <c r="J92" s="23" t="n"/>
      <c r="K92" s="23" t="n"/>
      <c r="L92" s="23" t="n"/>
      <c r="M92" s="23" t="n"/>
      <c r="N92" s="23" t="n"/>
      <c r="O92" s="23" t="n"/>
      <c r="P92" s="23" t="n"/>
      <c r="Q92" s="23" t="n"/>
      <c r="S92" s="24" t="n"/>
      <c r="T92" s="24" t="n"/>
      <c r="U92" s="24" t="n"/>
    </row>
    <row r="93">
      <c r="J93" s="23" t="n"/>
      <c r="K93" s="23" t="n"/>
      <c r="L93" s="23" t="n"/>
      <c r="M93" s="23" t="n"/>
      <c r="N93" s="23" t="n"/>
      <c r="O93" s="23" t="n"/>
      <c r="P93" s="23" t="n"/>
      <c r="Q93" s="23" t="n"/>
      <c r="S93" s="24" t="n"/>
      <c r="T93" s="24" t="n"/>
      <c r="U93" s="24" t="n"/>
    </row>
    <row r="94">
      <c r="J94" s="23" t="n"/>
      <c r="K94" s="23" t="n"/>
      <c r="L94" s="23" t="n"/>
      <c r="M94" s="23" t="n"/>
      <c r="N94" s="23" t="n"/>
      <c r="O94" s="23" t="n"/>
      <c r="P94" s="23" t="n"/>
      <c r="Q94" s="23" t="n"/>
      <c r="S94" s="24" t="n"/>
      <c r="T94" s="24" t="n"/>
      <c r="U94" s="24" t="n"/>
    </row>
    <row r="95">
      <c r="J95" s="23" t="n"/>
      <c r="K95" s="23" t="n"/>
      <c r="L95" s="23" t="n"/>
      <c r="M95" s="23" t="n"/>
      <c r="N95" s="23" t="n"/>
      <c r="O95" s="23" t="n"/>
      <c r="P95" s="23" t="n"/>
      <c r="Q95" s="23" t="n"/>
      <c r="S95" s="24" t="n"/>
      <c r="T95" s="24" t="n"/>
      <c r="U95" s="24" t="n"/>
    </row>
    <row r="96">
      <c r="J96" s="23" t="n"/>
      <c r="K96" s="23" t="n"/>
      <c r="L96" s="23" t="n"/>
      <c r="M96" s="23" t="n"/>
      <c r="N96" s="23" t="n"/>
      <c r="O96" s="23" t="n"/>
      <c r="P96" s="23" t="n"/>
      <c r="Q96" s="23" t="n"/>
      <c r="S96" s="24" t="n"/>
      <c r="T96" s="24" t="n"/>
      <c r="U96" s="24" t="n"/>
    </row>
    <row r="97">
      <c r="J97" s="23" t="n"/>
      <c r="K97" s="23" t="n"/>
      <c r="L97" s="23" t="n"/>
      <c r="M97" s="23" t="n"/>
      <c r="N97" s="23" t="n"/>
      <c r="O97" s="23" t="n"/>
      <c r="P97" s="23" t="n"/>
      <c r="Q97" s="23" t="n"/>
      <c r="S97" s="24" t="n"/>
      <c r="T97" s="24" t="n"/>
      <c r="U97" s="24" t="n"/>
    </row>
    <row r="98">
      <c r="J98" s="23" t="n"/>
      <c r="K98" s="23" t="n"/>
      <c r="L98" s="23" t="n"/>
      <c r="M98" s="23" t="n"/>
      <c r="N98" s="23" t="n"/>
      <c r="O98" s="23" t="n"/>
      <c r="P98" s="23" t="n"/>
      <c r="Q98" s="23" t="n"/>
      <c r="S98" s="24" t="n"/>
      <c r="T98" s="24" t="n"/>
      <c r="U98" s="24" t="n"/>
    </row>
    <row r="99">
      <c r="J99" s="23" t="n"/>
      <c r="K99" s="23" t="n"/>
      <c r="L99" s="23" t="n"/>
      <c r="M99" s="23" t="n"/>
      <c r="N99" s="23" t="n"/>
      <c r="O99" s="23" t="n"/>
      <c r="P99" s="23" t="n"/>
      <c r="Q99" s="23" t="n"/>
      <c r="S99" s="24" t="n"/>
      <c r="T99" s="24" t="n"/>
      <c r="U99" s="24" t="n"/>
    </row>
    <row r="100">
      <c r="J100" s="23" t="n"/>
      <c r="K100" s="23" t="n"/>
      <c r="L100" s="23" t="n"/>
      <c r="M100" s="23" t="n"/>
      <c r="N100" s="23" t="n"/>
      <c r="O100" s="23" t="n"/>
      <c r="P100" s="23" t="n"/>
      <c r="Q100" s="23" t="n"/>
      <c r="S100" s="24" t="n"/>
      <c r="T100" s="24" t="n"/>
      <c r="U100" s="24" t="n"/>
    </row>
    <row r="101">
      <c r="J101" s="23" t="n"/>
      <c r="K101" s="23" t="n"/>
      <c r="L101" s="23" t="n"/>
      <c r="M101" s="23" t="n"/>
      <c r="N101" s="23" t="n"/>
      <c r="O101" s="23" t="n"/>
      <c r="P101" s="23" t="n"/>
      <c r="Q101" s="23" t="n"/>
      <c r="S101" s="24" t="n"/>
      <c r="T101" s="24" t="n"/>
      <c r="U101" s="24" t="n"/>
    </row>
    <row r="102">
      <c r="J102" s="23" t="n"/>
      <c r="K102" s="23" t="n"/>
      <c r="L102" s="23" t="n"/>
      <c r="M102" s="23" t="n"/>
      <c r="N102" s="23" t="n"/>
      <c r="O102" s="23" t="n"/>
      <c r="P102" s="23" t="n"/>
      <c r="Q102" s="23" t="n"/>
      <c r="S102" s="24" t="n"/>
      <c r="T102" s="24" t="n"/>
      <c r="U102" s="24" t="n"/>
    </row>
    <row r="103">
      <c r="J103" s="23" t="n"/>
      <c r="K103" s="23" t="n"/>
      <c r="L103" s="23" t="n"/>
      <c r="M103" s="23" t="n"/>
      <c r="N103" s="23" t="n"/>
      <c r="O103" s="23" t="n"/>
      <c r="P103" s="23" t="n"/>
      <c r="Q103" s="23" t="n"/>
      <c r="S103" s="24" t="n"/>
      <c r="T103" s="24" t="n"/>
      <c r="U103" s="24" t="n"/>
    </row>
    <row r="104">
      <c r="J104" s="23" t="n"/>
      <c r="K104" s="23" t="n"/>
      <c r="L104" s="23" t="n"/>
      <c r="M104" s="23" t="n"/>
      <c r="N104" s="23" t="n"/>
      <c r="O104" s="23" t="n"/>
      <c r="P104" s="23" t="n"/>
      <c r="Q104" s="23" t="n"/>
      <c r="S104" s="24" t="n"/>
      <c r="T104" s="24" t="n"/>
      <c r="U104" s="24" t="n"/>
    </row>
    <row r="105">
      <c r="J105" s="23" t="n"/>
      <c r="K105" s="23" t="n"/>
      <c r="L105" s="23" t="n"/>
      <c r="M105" s="23" t="n"/>
      <c r="N105" s="23" t="n"/>
      <c r="O105" s="23" t="n"/>
      <c r="P105" s="23" t="n"/>
      <c r="Q105" s="23" t="n"/>
      <c r="S105" s="24" t="n"/>
      <c r="T105" s="24" t="n"/>
      <c r="U105" s="24" t="n"/>
    </row>
    <row r="106">
      <c r="J106" s="23" t="n"/>
      <c r="K106" s="23" t="n"/>
      <c r="L106" s="23" t="n"/>
      <c r="M106" s="23" t="n"/>
      <c r="N106" s="23" t="n"/>
      <c r="O106" s="23" t="n"/>
      <c r="P106" s="23" t="n"/>
      <c r="Q106" s="23" t="n"/>
      <c r="S106" s="24" t="n"/>
      <c r="T106" s="24" t="n"/>
      <c r="U106" s="24" t="n"/>
    </row>
    <row r="107">
      <c r="J107" s="23" t="n"/>
      <c r="K107" s="23" t="n"/>
      <c r="L107" s="23" t="n"/>
      <c r="M107" s="23" t="n"/>
      <c r="N107" s="23" t="n"/>
      <c r="O107" s="23" t="n"/>
      <c r="P107" s="23" t="n"/>
      <c r="Q107" s="23" t="n"/>
      <c r="S107" s="24" t="n"/>
      <c r="T107" s="24" t="n"/>
      <c r="U107" s="24" t="n"/>
    </row>
    <row r="108">
      <c r="J108" s="23" t="n"/>
      <c r="K108" s="23" t="n"/>
      <c r="L108" s="23" t="n"/>
      <c r="M108" s="23" t="n"/>
      <c r="N108" s="23" t="n"/>
      <c r="O108" s="23" t="n"/>
      <c r="P108" s="23" t="n"/>
      <c r="Q108" s="23" t="n"/>
      <c r="S108" s="24" t="n"/>
      <c r="T108" s="24" t="n"/>
      <c r="U108" s="24" t="n"/>
    </row>
    <row r="109">
      <c r="J109" s="23" t="n"/>
      <c r="K109" s="23" t="n"/>
      <c r="L109" s="23" t="n"/>
      <c r="M109" s="23" t="n"/>
      <c r="N109" s="23" t="n"/>
      <c r="O109" s="23" t="n"/>
      <c r="P109" s="23" t="n"/>
      <c r="Q109" s="23" t="n"/>
      <c r="S109" s="24" t="n"/>
      <c r="T109" s="24" t="n"/>
      <c r="U109" s="24" t="n"/>
    </row>
    <row r="110">
      <c r="J110" s="23" t="n"/>
      <c r="K110" s="23" t="n"/>
      <c r="L110" s="23" t="n"/>
      <c r="M110" s="23" t="n"/>
      <c r="N110" s="23" t="n"/>
      <c r="O110" s="23" t="n"/>
      <c r="P110" s="23" t="n"/>
      <c r="Q110" s="23" t="n"/>
      <c r="S110" s="24" t="n"/>
      <c r="T110" s="24" t="n"/>
      <c r="U110" s="24" t="n"/>
    </row>
    <row r="111">
      <c r="J111" s="23" t="n"/>
      <c r="K111" s="23" t="n"/>
      <c r="L111" s="23" t="n"/>
      <c r="M111" s="23" t="n"/>
      <c r="N111" s="23" t="n"/>
      <c r="O111" s="23" t="n"/>
      <c r="P111" s="23" t="n"/>
      <c r="Q111" s="23" t="n"/>
      <c r="S111" s="24" t="n"/>
      <c r="T111" s="24" t="n"/>
      <c r="U111" s="24" t="n"/>
    </row>
    <row r="112">
      <c r="J112" s="23" t="n"/>
      <c r="K112" s="23" t="n"/>
      <c r="L112" s="23" t="n"/>
      <c r="M112" s="23" t="n"/>
      <c r="N112" s="23" t="n"/>
      <c r="O112" s="23" t="n"/>
      <c r="P112" s="23" t="n"/>
      <c r="Q112" s="23" t="n"/>
      <c r="S112" s="24" t="n"/>
      <c r="T112" s="24" t="n"/>
      <c r="U112" s="24" t="n"/>
    </row>
    <row r="113">
      <c r="J113" s="23" t="n"/>
      <c r="K113" s="23" t="n"/>
      <c r="L113" s="23" t="n"/>
      <c r="M113" s="23" t="n"/>
      <c r="N113" s="23" t="n"/>
      <c r="O113" s="23" t="n"/>
      <c r="P113" s="23" t="n"/>
      <c r="Q113" s="23" t="n"/>
      <c r="S113" s="24" t="n"/>
      <c r="T113" s="24" t="n"/>
      <c r="U113" s="24" t="n"/>
    </row>
    <row r="114">
      <c r="J114" s="23" t="n"/>
      <c r="K114" s="23" t="n"/>
      <c r="L114" s="23" t="n"/>
      <c r="M114" s="23" t="n"/>
      <c r="N114" s="23" t="n"/>
      <c r="O114" s="23" t="n"/>
      <c r="P114" s="23" t="n"/>
      <c r="Q114" s="23" t="n"/>
      <c r="S114" s="24" t="n"/>
      <c r="T114" s="24" t="n"/>
      <c r="U114" s="24" t="n"/>
    </row>
    <row r="115">
      <c r="J115" s="23" t="n"/>
      <c r="K115" s="23" t="n"/>
      <c r="L115" s="23" t="n"/>
      <c r="M115" s="23" t="n"/>
      <c r="N115" s="23" t="n"/>
      <c r="O115" s="23" t="n"/>
      <c r="P115" s="23" t="n"/>
      <c r="Q115" s="23" t="n"/>
      <c r="S115" s="24" t="n"/>
      <c r="T115" s="24" t="n"/>
      <c r="U115" s="24" t="n"/>
    </row>
    <row r="116">
      <c r="J116" s="23" t="n"/>
      <c r="K116" s="23" t="n"/>
      <c r="L116" s="23" t="n"/>
      <c r="M116" s="23" t="n"/>
      <c r="N116" s="23" t="n"/>
      <c r="O116" s="23" t="n"/>
      <c r="P116" s="23" t="n"/>
      <c r="Q116" s="23" t="n"/>
      <c r="S116" s="24" t="n"/>
      <c r="T116" s="24" t="n"/>
      <c r="U116" s="24" t="n"/>
    </row>
    <row r="117">
      <c r="J117" s="23" t="n"/>
      <c r="K117" s="23" t="n"/>
      <c r="L117" s="23" t="n"/>
      <c r="M117" s="23" t="n"/>
      <c r="N117" s="23" t="n"/>
      <c r="O117" s="23" t="n"/>
      <c r="P117" s="23" t="n"/>
      <c r="Q117" s="23" t="n"/>
      <c r="S117" s="24" t="n"/>
      <c r="T117" s="24" t="n"/>
      <c r="U117" s="24" t="n"/>
    </row>
    <row r="118">
      <c r="J118" s="23" t="n"/>
      <c r="K118" s="23" t="n"/>
      <c r="L118" s="23" t="n"/>
      <c r="M118" s="23" t="n"/>
      <c r="N118" s="23" t="n"/>
      <c r="O118" s="23" t="n"/>
      <c r="P118" s="23" t="n"/>
      <c r="Q118" s="23" t="n"/>
      <c r="S118" s="24" t="n"/>
      <c r="T118" s="24" t="n"/>
      <c r="U118" s="24" t="n"/>
    </row>
    <row r="119">
      <c r="J119" s="23" t="n"/>
      <c r="K119" s="23" t="n"/>
      <c r="L119" s="23" t="n"/>
      <c r="M119" s="23" t="n"/>
      <c r="N119" s="23" t="n"/>
      <c r="O119" s="23" t="n"/>
      <c r="P119" s="23" t="n"/>
      <c r="Q119" s="23" t="n"/>
      <c r="S119" s="24" t="n"/>
      <c r="T119" s="24" t="n"/>
      <c r="U119" s="24" t="n"/>
    </row>
    <row r="120">
      <c r="J120" s="23" t="n"/>
      <c r="K120" s="23" t="n"/>
      <c r="L120" s="23" t="n"/>
      <c r="M120" s="23" t="n"/>
      <c r="N120" s="23" t="n"/>
      <c r="O120" s="23" t="n"/>
      <c r="P120" s="23" t="n"/>
      <c r="Q120" s="23" t="n"/>
      <c r="S120" s="24" t="n"/>
      <c r="T120" s="24" t="n"/>
      <c r="U120" s="24" t="n"/>
    </row>
    <row r="121">
      <c r="J121" s="23" t="n"/>
      <c r="K121" s="23" t="n"/>
      <c r="L121" s="23" t="n"/>
      <c r="M121" s="23" t="n"/>
      <c r="N121" s="23" t="n"/>
      <c r="O121" s="23" t="n"/>
      <c r="P121" s="23" t="n"/>
      <c r="Q121" s="23" t="n"/>
      <c r="S121" s="24" t="n"/>
      <c r="T121" s="24" t="n"/>
      <c r="U121" s="24" t="n"/>
    </row>
    <row r="122">
      <c r="J122" s="23" t="n"/>
      <c r="K122" s="23" t="n"/>
      <c r="L122" s="23" t="n"/>
      <c r="M122" s="23" t="n"/>
      <c r="N122" s="23" t="n"/>
      <c r="O122" s="23" t="n"/>
      <c r="P122" s="23" t="n"/>
      <c r="Q122" s="23" t="n"/>
      <c r="S122" s="24" t="n"/>
      <c r="T122" s="24" t="n"/>
      <c r="U122" s="24" t="n"/>
    </row>
    <row r="123">
      <c r="J123" s="23" t="n"/>
      <c r="K123" s="23" t="n"/>
      <c r="L123" s="23" t="n"/>
      <c r="M123" s="23" t="n"/>
      <c r="N123" s="23" t="n"/>
      <c r="O123" s="23" t="n"/>
      <c r="P123" s="23" t="n"/>
      <c r="Q123" s="23" t="n"/>
      <c r="S123" s="24" t="n"/>
      <c r="T123" s="24" t="n"/>
      <c r="U123" s="24" t="n"/>
    </row>
    <row r="124">
      <c r="J124" s="23" t="n"/>
      <c r="K124" s="23" t="n"/>
      <c r="L124" s="23" t="n"/>
      <c r="M124" s="23" t="n"/>
      <c r="N124" s="23" t="n"/>
      <c r="O124" s="23" t="n"/>
      <c r="P124" s="23" t="n"/>
      <c r="Q124" s="23" t="n"/>
      <c r="S124" s="24" t="n"/>
      <c r="T124" s="24" t="n"/>
      <c r="U124" s="24" t="n"/>
    </row>
    <row r="125">
      <c r="J125" s="23" t="n"/>
      <c r="K125" s="23" t="n"/>
      <c r="L125" s="23" t="n"/>
      <c r="M125" s="23" t="n"/>
      <c r="N125" s="23" t="n"/>
      <c r="O125" s="23" t="n"/>
      <c r="P125" s="23" t="n"/>
      <c r="Q125" s="23" t="n"/>
      <c r="S125" s="24" t="n"/>
      <c r="T125" s="24" t="n"/>
      <c r="U125" s="24" t="n"/>
    </row>
    <row r="126">
      <c r="J126" s="23" t="n"/>
      <c r="K126" s="23" t="n"/>
      <c r="L126" s="23" t="n"/>
      <c r="M126" s="23" t="n"/>
      <c r="N126" s="23" t="n"/>
      <c r="O126" s="23" t="n"/>
      <c r="P126" s="23" t="n"/>
      <c r="Q126" s="23" t="n"/>
      <c r="S126" s="24" t="n"/>
      <c r="T126" s="24" t="n"/>
      <c r="U126" s="24" t="n"/>
    </row>
    <row r="127">
      <c r="J127" s="23" t="n"/>
      <c r="K127" s="23" t="n"/>
      <c r="L127" s="23" t="n"/>
      <c r="M127" s="23" t="n"/>
      <c r="N127" s="23" t="n"/>
      <c r="O127" s="23" t="n"/>
      <c r="P127" s="23" t="n"/>
      <c r="Q127" s="23" t="n"/>
      <c r="S127" s="24" t="n"/>
      <c r="T127" s="24" t="n"/>
      <c r="U127" s="24" t="n"/>
    </row>
    <row r="128">
      <c r="J128" s="23" t="n"/>
      <c r="K128" s="23" t="n"/>
      <c r="L128" s="23" t="n"/>
      <c r="M128" s="23" t="n"/>
      <c r="N128" s="23" t="n"/>
      <c r="O128" s="23" t="n"/>
      <c r="P128" s="23" t="n"/>
      <c r="Q128" s="23" t="n"/>
      <c r="S128" s="24" t="n"/>
      <c r="T128" s="24" t="n"/>
      <c r="U128" s="24" t="n"/>
    </row>
    <row r="129">
      <c r="J129" s="23" t="n"/>
      <c r="K129" s="23" t="n"/>
      <c r="L129" s="23" t="n"/>
      <c r="M129" s="23" t="n"/>
      <c r="N129" s="23" t="n"/>
      <c r="O129" s="23" t="n"/>
      <c r="P129" s="23" t="n"/>
      <c r="Q129" s="23" t="n"/>
      <c r="S129" s="24" t="n"/>
      <c r="T129" s="24" t="n"/>
      <c r="U129" s="24" t="n"/>
    </row>
    <row r="130">
      <c r="J130" s="23" t="n"/>
      <c r="K130" s="23" t="n"/>
      <c r="L130" s="23" t="n"/>
      <c r="M130" s="23" t="n"/>
      <c r="N130" s="23" t="n"/>
      <c r="O130" s="23" t="n"/>
      <c r="P130" s="23" t="n"/>
      <c r="Q130" s="23" t="n"/>
      <c r="S130" s="24" t="n"/>
      <c r="T130" s="24" t="n"/>
      <c r="U130" s="24" t="n"/>
    </row>
    <row r="131">
      <c r="J131" s="23" t="n"/>
      <c r="K131" s="23" t="n"/>
      <c r="L131" s="23" t="n"/>
      <c r="M131" s="23" t="n"/>
      <c r="N131" s="23" t="n"/>
      <c r="O131" s="23" t="n"/>
      <c r="P131" s="23" t="n"/>
      <c r="Q131" s="23" t="n"/>
      <c r="S131" s="24" t="n"/>
      <c r="T131" s="24" t="n"/>
      <c r="U131" s="24" t="n"/>
    </row>
  </sheetData>
  <mergeCells count="3">
    <mergeCell ref="J1:Q1"/>
    <mergeCell ref="S1:U1"/>
    <mergeCell ref="A1:H1"/>
  </mergeCells>
  <dataValidations count="1">
    <dataValidation sqref="E3:F52" showDropDown="0" showInputMessage="0" showErrorMessage="0" allowBlank="1" errorTitle="请用下拉" error="请从下拉列表里选，不要自己改字" type="list">
      <formula1>选项库!$I$3:$I$5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9A825"/>
    <outlinePr summaryBelow="1" summaryRight="1"/>
    <pageSetUpPr/>
  </sheetPr>
  <dimension ref="A1:M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8" customWidth="1" min="2" max="2"/>
    <col width="18" customWidth="1" min="3" max="3"/>
    <col width="18" customWidth="1" min="4" max="4"/>
    <col width="22" customWidth="1" min="5" max="5"/>
    <col width="22" customWidth="1" min="6" max="6"/>
    <col width="12" customWidth="1" min="7" max="7"/>
    <col width="18" customWidth="1" min="8" max="8"/>
    <col width="3" customWidth="1" min="9" max="9"/>
    <col width="12" customWidth="1" min="10" max="10"/>
    <col width="10" customWidth="1" min="11" max="11"/>
    <col width="10" customWidth="1" min="12" max="12"/>
    <col width="10" customWidth="1" min="13" max="13"/>
  </cols>
  <sheetData>
    <row r="1" ht="52" customHeight="1">
      <c r="A1" s="4" t="inlineStr">
        <is>
          <t>进步最大跟每周积分 X1 走。讲题/帮扶手选。出镜前：T_红线带星号的不要画；第16题选「这次先不参加」的不要画。</t>
        </is>
      </c>
      <c r="B1" s="46" t="n"/>
      <c r="C1" s="46" t="n"/>
      <c r="D1" s="46" t="n"/>
      <c r="E1" s="46" t="n"/>
      <c r="F1" s="46" t="n"/>
      <c r="G1" s="46" t="n"/>
      <c r="H1" s="47" t="n"/>
    </row>
    <row r="2" ht="36" customHeight="1">
      <c r="A2" s="25" t="inlineStr">
        <is>
          <t>周次</t>
        </is>
      </c>
      <c r="B2" s="25" t="inlineStr">
        <is>
          <t>进步最大（自动）</t>
        </is>
      </c>
      <c r="C2" s="25" t="inlineStr">
        <is>
          <t>讲题最佳（手选）</t>
        </is>
      </c>
      <c r="D2" s="25" t="inlineStr">
        <is>
          <t>帮扶最多（手选）</t>
        </is>
      </c>
      <c r="E2" s="25" t="inlineStr">
        <is>
          <t>本期主动画（自动）</t>
        </is>
      </c>
      <c r="F2" s="25" t="inlineStr">
        <is>
          <t>漫画主题</t>
        </is>
      </c>
      <c r="G2" s="25" t="inlineStr">
        <is>
          <t>是否已生成</t>
        </is>
      </c>
      <c r="H2" s="25" t="inlineStr">
        <is>
          <t>备注</t>
        </is>
      </c>
      <c r="J2" s="26" t="inlineStr">
        <is>
          <t>姓名</t>
        </is>
      </c>
      <c r="K2" s="26" t="inlineStr">
        <is>
          <t>本周分</t>
        </is>
      </c>
      <c r="L2" s="26" t="inlineStr">
        <is>
          <t>上周分</t>
        </is>
      </c>
      <c r="M2" s="26" t="inlineStr">
        <is>
          <t>进步</t>
        </is>
      </c>
    </row>
    <row r="3">
      <c r="A3" s="15" t="inlineStr">
        <is>
          <t>第1周</t>
        </is>
      </c>
      <c r="B3" s="15" t="inlineStr"/>
      <c r="C3" s="22" t="n"/>
      <c r="D3" s="22" t="n"/>
      <c r="E3" s="17">
        <f>IF(AND(B3="",C3="",D3=""),"",IFERROR(IF(AND(VLOOKUP(B3,学生档案!$C:$J,8,FALSE)&lt;&gt;"",OR(VLOOKUP(B3,学生档案!$C:$J,8,FALSE)=VLOOKUP(C3,学生档案!$C:$J,8,FALSE),VLOOKUP(B3,学生档案!$C:$J,8,FALSE)=VLOOKUP(D3,学生档案!$C:$J,8,FALSE))),VLOOKUP(B3,学生档案!$C:$J,8,FALSE),IF(AND(C3&lt;&gt;"",D3&lt;&gt;"",VLOOKUP(C3,学生档案!$C:$J,8,FALSE)=VLOOKUP(D3,学生档案!$C:$J,8,FALSE)),VLOOKUP(C3,学生档案!$C:$J,8,FALSE),IFERROR(IF(VLOOKUP(B3,学生档案!$C:$J,8,FALSE)&lt;&gt;"",VLOOKUP(B3,学生档案!$C:$J,8,FALSE),VLOOKUP(B3,学生档案!$C:$I,7,FALSE)),""))),""))</f>
        <v/>
      </c>
      <c r="F3" s="15" t="n"/>
      <c r="G3" s="22" t="n"/>
      <c r="H3" s="15" t="n"/>
      <c r="J3" s="27">
        <f>IF(每周积分!B3="","",每周积分!B3)</f>
        <v/>
      </c>
      <c r="K3" s="27">
        <f>IF(J3="","",IFERROR(INDEX(每周积分!C3:T3,1,每周积分!$X$1),0))</f>
        <v/>
      </c>
      <c r="L3" s="27">
        <f>IF(OR(J3="",每周积分!$X$1&lt;=1),"",IFERROR(INDEX(每周积分!C3:T3,1,每周积分!$X$1-1),0))</f>
        <v/>
      </c>
      <c r="M3" s="27">
        <f>IF(J3="","",IF(每周积分!$X$1&lt;=1,"",N(K3)-N(L3)))</f>
        <v/>
      </c>
    </row>
    <row r="4">
      <c r="A4" s="15" t="inlineStr">
        <is>
          <t>第2周</t>
        </is>
      </c>
      <c r="B4" s="15">
        <f>IF(每周积分!$X$1&lt;&gt;2,"",IFERROR(INDEX($J$3:$J$52,MATCH(MAX($M$3:$M$52),$M$3:$M$52,0)),""))</f>
        <v/>
      </c>
      <c r="C4" s="22" t="n"/>
      <c r="D4" s="22" t="n"/>
      <c r="E4" s="17">
        <f>IF(AND(B4="",C4="",D4=""),"",IFERROR(IF(AND(VLOOKUP(B4,学生档案!$C:$J,8,FALSE)&lt;&gt;"",OR(VLOOKUP(B4,学生档案!$C:$J,8,FALSE)=VLOOKUP(C4,学生档案!$C:$J,8,FALSE),VLOOKUP(B4,学生档案!$C:$J,8,FALSE)=VLOOKUP(D4,学生档案!$C:$J,8,FALSE))),VLOOKUP(B4,学生档案!$C:$J,8,FALSE),IF(AND(C4&lt;&gt;"",D4&lt;&gt;"",VLOOKUP(C4,学生档案!$C:$J,8,FALSE)=VLOOKUP(D4,学生档案!$C:$J,8,FALSE)),VLOOKUP(C4,学生档案!$C:$J,8,FALSE),IFERROR(IF(VLOOKUP(B4,学生档案!$C:$J,8,FALSE)&lt;&gt;"",VLOOKUP(B4,学生档案!$C:$J,8,FALSE),VLOOKUP(B4,学生档案!$C:$I,7,FALSE)),""))),""))</f>
        <v/>
      </c>
      <c r="F4" s="15" t="n"/>
      <c r="G4" s="22" t="n"/>
      <c r="H4" s="15" t="n"/>
      <c r="J4" s="27">
        <f>IF(每周积分!B4="","",每周积分!B4)</f>
        <v/>
      </c>
      <c r="K4" s="27">
        <f>IF(J4="","",IFERROR(INDEX(每周积分!C4:T4,1,每周积分!$X$1),0))</f>
        <v/>
      </c>
      <c r="L4" s="27">
        <f>IF(OR(J4="",每周积分!$X$1&lt;=1),"",IFERROR(INDEX(每周积分!C4:T4,1,每周积分!$X$1-1),0))</f>
        <v/>
      </c>
      <c r="M4" s="27">
        <f>IF(J4="","",IF(每周积分!$X$1&lt;=1,"",N(K4)-N(L4)))</f>
        <v/>
      </c>
    </row>
    <row r="5">
      <c r="A5" s="15" t="inlineStr">
        <is>
          <t>第3周</t>
        </is>
      </c>
      <c r="B5" s="15">
        <f>IF(每周积分!$X$1&lt;&gt;3,"",IFERROR(INDEX($J$3:$J$52,MATCH(MAX($M$3:$M$52),$M$3:$M$52,0)),""))</f>
        <v/>
      </c>
      <c r="C5" s="22" t="n"/>
      <c r="D5" s="22" t="n"/>
      <c r="E5" s="17">
        <f>IF(AND(B5="",C5="",D5=""),"",IFERROR(IF(AND(VLOOKUP(B5,学生档案!$C:$J,8,FALSE)&lt;&gt;"",OR(VLOOKUP(B5,学生档案!$C:$J,8,FALSE)=VLOOKUP(C5,学生档案!$C:$J,8,FALSE),VLOOKUP(B5,学生档案!$C:$J,8,FALSE)=VLOOKUP(D5,学生档案!$C:$J,8,FALSE))),VLOOKUP(B5,学生档案!$C:$J,8,FALSE),IF(AND(C5&lt;&gt;"",D5&lt;&gt;"",VLOOKUP(C5,学生档案!$C:$J,8,FALSE)=VLOOKUP(D5,学生档案!$C:$J,8,FALSE)),VLOOKUP(C5,学生档案!$C:$J,8,FALSE),IFERROR(IF(VLOOKUP(B5,学生档案!$C:$J,8,FALSE)&lt;&gt;"",VLOOKUP(B5,学生档案!$C:$J,8,FALSE),VLOOKUP(B5,学生档案!$C:$I,7,FALSE)),""))),""))</f>
        <v/>
      </c>
      <c r="F5" s="15" t="n"/>
      <c r="G5" s="22" t="n"/>
      <c r="H5" s="15" t="n"/>
      <c r="J5" s="27">
        <f>IF(每周积分!B5="","",每周积分!B5)</f>
        <v/>
      </c>
      <c r="K5" s="27">
        <f>IF(J5="","",IFERROR(INDEX(每周积分!C5:T5,1,每周积分!$X$1),0))</f>
        <v/>
      </c>
      <c r="L5" s="27">
        <f>IF(OR(J5="",每周积分!$X$1&lt;=1),"",IFERROR(INDEX(每周积分!C5:T5,1,每周积分!$X$1-1),0))</f>
        <v/>
      </c>
      <c r="M5" s="27">
        <f>IF(J5="","",IF(每周积分!$X$1&lt;=1,"",N(K5)-N(L5)))</f>
        <v/>
      </c>
    </row>
    <row r="6">
      <c r="A6" s="15" t="inlineStr">
        <is>
          <t>第4周</t>
        </is>
      </c>
      <c r="B6" s="15">
        <f>IF(每周积分!$X$1&lt;&gt;4,"",IFERROR(INDEX($J$3:$J$52,MATCH(MAX($M$3:$M$52),$M$3:$M$52,0)),""))</f>
        <v/>
      </c>
      <c r="C6" s="22" t="n"/>
      <c r="D6" s="22" t="n"/>
      <c r="E6" s="17">
        <f>IF(AND(B6="",C6="",D6=""),"",IFERROR(IF(AND(VLOOKUP(B6,学生档案!$C:$J,8,FALSE)&lt;&gt;"",OR(VLOOKUP(B6,学生档案!$C:$J,8,FALSE)=VLOOKUP(C6,学生档案!$C:$J,8,FALSE),VLOOKUP(B6,学生档案!$C:$J,8,FALSE)=VLOOKUP(D6,学生档案!$C:$J,8,FALSE))),VLOOKUP(B6,学生档案!$C:$J,8,FALSE),IF(AND(C6&lt;&gt;"",D6&lt;&gt;"",VLOOKUP(C6,学生档案!$C:$J,8,FALSE)=VLOOKUP(D6,学生档案!$C:$J,8,FALSE)),VLOOKUP(C6,学生档案!$C:$J,8,FALSE),IFERROR(IF(VLOOKUP(B6,学生档案!$C:$J,8,FALSE)&lt;&gt;"",VLOOKUP(B6,学生档案!$C:$J,8,FALSE),VLOOKUP(B6,学生档案!$C:$I,7,FALSE)),""))),""))</f>
        <v/>
      </c>
      <c r="F6" s="15" t="n"/>
      <c r="G6" s="22" t="n"/>
      <c r="H6" s="15" t="n"/>
      <c r="J6" s="27">
        <f>IF(每周积分!B6="","",每周积分!B6)</f>
        <v/>
      </c>
      <c r="K6" s="27">
        <f>IF(J6="","",IFERROR(INDEX(每周积分!C6:T6,1,每周积分!$X$1),0))</f>
        <v/>
      </c>
      <c r="L6" s="27">
        <f>IF(OR(J6="",每周积分!$X$1&lt;=1),"",IFERROR(INDEX(每周积分!C6:T6,1,每周积分!$X$1-1),0))</f>
        <v/>
      </c>
      <c r="M6" s="27">
        <f>IF(J6="","",IF(每周积分!$X$1&lt;=1,"",N(K6)-N(L6)))</f>
        <v/>
      </c>
    </row>
    <row r="7">
      <c r="A7" s="15" t="inlineStr">
        <is>
          <t>第5周</t>
        </is>
      </c>
      <c r="B7" s="15">
        <f>IF(每周积分!$X$1&lt;&gt;5,"",IFERROR(INDEX($J$3:$J$52,MATCH(MAX($M$3:$M$52),$M$3:$M$52,0)),""))</f>
        <v/>
      </c>
      <c r="C7" s="22" t="n"/>
      <c r="D7" s="22" t="n"/>
      <c r="E7" s="17">
        <f>IF(AND(B7="",C7="",D7=""),"",IFERROR(IF(AND(VLOOKUP(B7,学生档案!$C:$J,8,FALSE)&lt;&gt;"",OR(VLOOKUP(B7,学生档案!$C:$J,8,FALSE)=VLOOKUP(C7,学生档案!$C:$J,8,FALSE),VLOOKUP(B7,学生档案!$C:$J,8,FALSE)=VLOOKUP(D7,学生档案!$C:$J,8,FALSE))),VLOOKUP(B7,学生档案!$C:$J,8,FALSE),IF(AND(C7&lt;&gt;"",D7&lt;&gt;"",VLOOKUP(C7,学生档案!$C:$J,8,FALSE)=VLOOKUP(D7,学生档案!$C:$J,8,FALSE)),VLOOKUP(C7,学生档案!$C:$J,8,FALSE),IFERROR(IF(VLOOKUP(B7,学生档案!$C:$J,8,FALSE)&lt;&gt;"",VLOOKUP(B7,学生档案!$C:$J,8,FALSE),VLOOKUP(B7,学生档案!$C:$I,7,FALSE)),""))),""))</f>
        <v/>
      </c>
      <c r="F7" s="15" t="n"/>
      <c r="G7" s="22" t="n"/>
      <c r="H7" s="15" t="n"/>
      <c r="J7" s="27">
        <f>IF(每周积分!B7="","",每周积分!B7)</f>
        <v/>
      </c>
      <c r="K7" s="27">
        <f>IF(J7="","",IFERROR(INDEX(每周积分!C7:T7,1,每周积分!$X$1),0))</f>
        <v/>
      </c>
      <c r="L7" s="27">
        <f>IF(OR(J7="",每周积分!$X$1&lt;=1),"",IFERROR(INDEX(每周积分!C7:T7,1,每周积分!$X$1-1),0))</f>
        <v/>
      </c>
      <c r="M7" s="27">
        <f>IF(J7="","",IF(每周积分!$X$1&lt;=1,"",N(K7)-N(L7)))</f>
        <v/>
      </c>
    </row>
    <row r="8">
      <c r="A8" s="15" t="inlineStr">
        <is>
          <t>第6周</t>
        </is>
      </c>
      <c r="B8" s="15">
        <f>IF(每周积分!$X$1&lt;&gt;6,"",IFERROR(INDEX($J$3:$J$52,MATCH(MAX($M$3:$M$52),$M$3:$M$52,0)),""))</f>
        <v/>
      </c>
      <c r="C8" s="22" t="n"/>
      <c r="D8" s="22" t="n"/>
      <c r="E8" s="17">
        <f>IF(AND(B8="",C8="",D8=""),"",IFERROR(IF(AND(VLOOKUP(B8,学生档案!$C:$J,8,FALSE)&lt;&gt;"",OR(VLOOKUP(B8,学生档案!$C:$J,8,FALSE)=VLOOKUP(C8,学生档案!$C:$J,8,FALSE),VLOOKUP(B8,学生档案!$C:$J,8,FALSE)=VLOOKUP(D8,学生档案!$C:$J,8,FALSE))),VLOOKUP(B8,学生档案!$C:$J,8,FALSE),IF(AND(C8&lt;&gt;"",D8&lt;&gt;"",VLOOKUP(C8,学生档案!$C:$J,8,FALSE)=VLOOKUP(D8,学生档案!$C:$J,8,FALSE)),VLOOKUP(C8,学生档案!$C:$J,8,FALSE),IFERROR(IF(VLOOKUP(B8,学生档案!$C:$J,8,FALSE)&lt;&gt;"",VLOOKUP(B8,学生档案!$C:$J,8,FALSE),VLOOKUP(B8,学生档案!$C:$I,7,FALSE)),""))),""))</f>
        <v/>
      </c>
      <c r="F8" s="15" t="n"/>
      <c r="G8" s="22" t="n"/>
      <c r="H8" s="15" t="n"/>
      <c r="J8" s="27">
        <f>IF(每周积分!B8="","",每周积分!B8)</f>
        <v/>
      </c>
      <c r="K8" s="27">
        <f>IF(J8="","",IFERROR(INDEX(每周积分!C8:T8,1,每周积分!$X$1),0))</f>
        <v/>
      </c>
      <c r="L8" s="27">
        <f>IF(OR(J8="",每周积分!$X$1&lt;=1),"",IFERROR(INDEX(每周积分!C8:T8,1,每周积分!$X$1-1),0))</f>
        <v/>
      </c>
      <c r="M8" s="27">
        <f>IF(J8="","",IF(每周积分!$X$1&lt;=1,"",N(K8)-N(L8)))</f>
        <v/>
      </c>
    </row>
    <row r="9">
      <c r="A9" s="15" t="inlineStr">
        <is>
          <t>第7周</t>
        </is>
      </c>
      <c r="B9" s="15">
        <f>IF(每周积分!$X$1&lt;&gt;7,"",IFERROR(INDEX($J$3:$J$52,MATCH(MAX($M$3:$M$52),$M$3:$M$52,0)),""))</f>
        <v/>
      </c>
      <c r="C9" s="22" t="n"/>
      <c r="D9" s="22" t="n"/>
      <c r="E9" s="17">
        <f>IF(AND(B9="",C9="",D9=""),"",IFERROR(IF(AND(VLOOKUP(B9,学生档案!$C:$J,8,FALSE)&lt;&gt;"",OR(VLOOKUP(B9,学生档案!$C:$J,8,FALSE)=VLOOKUP(C9,学生档案!$C:$J,8,FALSE),VLOOKUP(B9,学生档案!$C:$J,8,FALSE)=VLOOKUP(D9,学生档案!$C:$J,8,FALSE))),VLOOKUP(B9,学生档案!$C:$J,8,FALSE),IF(AND(C9&lt;&gt;"",D9&lt;&gt;"",VLOOKUP(C9,学生档案!$C:$J,8,FALSE)=VLOOKUP(D9,学生档案!$C:$J,8,FALSE)),VLOOKUP(C9,学生档案!$C:$J,8,FALSE),IFERROR(IF(VLOOKUP(B9,学生档案!$C:$J,8,FALSE)&lt;&gt;"",VLOOKUP(B9,学生档案!$C:$J,8,FALSE),VLOOKUP(B9,学生档案!$C:$I,7,FALSE)),""))),""))</f>
        <v/>
      </c>
      <c r="F9" s="15" t="n"/>
      <c r="G9" s="22" t="n"/>
      <c r="H9" s="15" t="n"/>
      <c r="J9" s="27">
        <f>IF(每周积分!B9="","",每周积分!B9)</f>
        <v/>
      </c>
      <c r="K9" s="27">
        <f>IF(J9="","",IFERROR(INDEX(每周积分!C9:T9,1,每周积分!$X$1),0))</f>
        <v/>
      </c>
      <c r="L9" s="27">
        <f>IF(OR(J9="",每周积分!$X$1&lt;=1),"",IFERROR(INDEX(每周积分!C9:T9,1,每周积分!$X$1-1),0))</f>
        <v/>
      </c>
      <c r="M9" s="27">
        <f>IF(J9="","",IF(每周积分!$X$1&lt;=1,"",N(K9)-N(L9)))</f>
        <v/>
      </c>
    </row>
    <row r="10">
      <c r="A10" s="15" t="inlineStr">
        <is>
          <t>第8周</t>
        </is>
      </c>
      <c r="B10" s="15">
        <f>IF(每周积分!$X$1&lt;&gt;8,"",IFERROR(INDEX($J$3:$J$52,MATCH(MAX($M$3:$M$52),$M$3:$M$52,0)),""))</f>
        <v/>
      </c>
      <c r="C10" s="22" t="n"/>
      <c r="D10" s="22" t="n"/>
      <c r="E10" s="17">
        <f>IF(AND(B10="",C10="",D10=""),"",IFERROR(IF(AND(VLOOKUP(B10,学生档案!$C:$J,8,FALSE)&lt;&gt;"",OR(VLOOKUP(B10,学生档案!$C:$J,8,FALSE)=VLOOKUP(C10,学生档案!$C:$J,8,FALSE),VLOOKUP(B10,学生档案!$C:$J,8,FALSE)=VLOOKUP(D10,学生档案!$C:$J,8,FALSE))),VLOOKUP(B10,学生档案!$C:$J,8,FALSE),IF(AND(C10&lt;&gt;"",D10&lt;&gt;"",VLOOKUP(C10,学生档案!$C:$J,8,FALSE)=VLOOKUP(D10,学生档案!$C:$J,8,FALSE)),VLOOKUP(C10,学生档案!$C:$J,8,FALSE),IFERROR(IF(VLOOKUP(B10,学生档案!$C:$J,8,FALSE)&lt;&gt;"",VLOOKUP(B10,学生档案!$C:$J,8,FALSE),VLOOKUP(B10,学生档案!$C:$I,7,FALSE)),""))),""))</f>
        <v/>
      </c>
      <c r="F10" s="15" t="n"/>
      <c r="G10" s="22" t="n"/>
      <c r="H10" s="15" t="n"/>
      <c r="J10" s="27">
        <f>IF(每周积分!B10="","",每周积分!B10)</f>
        <v/>
      </c>
      <c r="K10" s="27">
        <f>IF(J10="","",IFERROR(INDEX(每周积分!C10:T10,1,每周积分!$X$1),0))</f>
        <v/>
      </c>
      <c r="L10" s="27">
        <f>IF(OR(J10="",每周积分!$X$1&lt;=1),"",IFERROR(INDEX(每周积分!C10:T10,1,每周积分!$X$1-1),0))</f>
        <v/>
      </c>
      <c r="M10" s="27">
        <f>IF(J10="","",IF(每周积分!$X$1&lt;=1,"",N(K10)-N(L10)))</f>
        <v/>
      </c>
    </row>
    <row r="11">
      <c r="A11" s="15" t="inlineStr">
        <is>
          <t>第9周</t>
        </is>
      </c>
      <c r="B11" s="15">
        <f>IF(每周积分!$X$1&lt;&gt;9,"",IFERROR(INDEX($J$3:$J$52,MATCH(MAX($M$3:$M$52),$M$3:$M$52,0)),""))</f>
        <v/>
      </c>
      <c r="C11" s="22" t="n"/>
      <c r="D11" s="22" t="n"/>
      <c r="E11" s="17">
        <f>IF(AND(B11="",C11="",D11=""),"",IFERROR(IF(AND(VLOOKUP(B11,学生档案!$C:$J,8,FALSE)&lt;&gt;"",OR(VLOOKUP(B11,学生档案!$C:$J,8,FALSE)=VLOOKUP(C11,学生档案!$C:$J,8,FALSE),VLOOKUP(B11,学生档案!$C:$J,8,FALSE)=VLOOKUP(D11,学生档案!$C:$J,8,FALSE))),VLOOKUP(B11,学生档案!$C:$J,8,FALSE),IF(AND(C11&lt;&gt;"",D11&lt;&gt;"",VLOOKUP(C11,学生档案!$C:$J,8,FALSE)=VLOOKUP(D11,学生档案!$C:$J,8,FALSE)),VLOOKUP(C11,学生档案!$C:$J,8,FALSE),IFERROR(IF(VLOOKUP(B11,学生档案!$C:$J,8,FALSE)&lt;&gt;"",VLOOKUP(B11,学生档案!$C:$J,8,FALSE),VLOOKUP(B11,学生档案!$C:$I,7,FALSE)),""))),""))</f>
        <v/>
      </c>
      <c r="F11" s="15" t="n"/>
      <c r="G11" s="22" t="n"/>
      <c r="H11" s="15" t="n"/>
      <c r="J11" s="27">
        <f>IF(每周积分!B11="","",每周积分!B11)</f>
        <v/>
      </c>
      <c r="K11" s="27">
        <f>IF(J11="","",IFERROR(INDEX(每周积分!C11:T11,1,每周积分!$X$1),0))</f>
        <v/>
      </c>
      <c r="L11" s="27">
        <f>IF(OR(J11="",每周积分!$X$1&lt;=1),"",IFERROR(INDEX(每周积分!C11:T11,1,每周积分!$X$1-1),0))</f>
        <v/>
      </c>
      <c r="M11" s="27">
        <f>IF(J11="","",IF(每周积分!$X$1&lt;=1,"",N(K11)-N(L11)))</f>
        <v/>
      </c>
    </row>
    <row r="12">
      <c r="A12" s="15" t="inlineStr">
        <is>
          <t>第10周</t>
        </is>
      </c>
      <c r="B12" s="15">
        <f>IF(每周积分!$X$1&lt;&gt;10,"",IFERROR(INDEX($J$3:$J$52,MATCH(MAX($M$3:$M$52),$M$3:$M$52,0)),""))</f>
        <v/>
      </c>
      <c r="C12" s="22" t="n"/>
      <c r="D12" s="22" t="n"/>
      <c r="E12" s="17">
        <f>IF(AND(B12="",C12="",D12=""),"",IFERROR(IF(AND(VLOOKUP(B12,学生档案!$C:$J,8,FALSE)&lt;&gt;"",OR(VLOOKUP(B12,学生档案!$C:$J,8,FALSE)=VLOOKUP(C12,学生档案!$C:$J,8,FALSE),VLOOKUP(B12,学生档案!$C:$J,8,FALSE)=VLOOKUP(D12,学生档案!$C:$J,8,FALSE))),VLOOKUP(B12,学生档案!$C:$J,8,FALSE),IF(AND(C12&lt;&gt;"",D12&lt;&gt;"",VLOOKUP(C12,学生档案!$C:$J,8,FALSE)=VLOOKUP(D12,学生档案!$C:$J,8,FALSE)),VLOOKUP(C12,学生档案!$C:$J,8,FALSE),IFERROR(IF(VLOOKUP(B12,学生档案!$C:$J,8,FALSE)&lt;&gt;"",VLOOKUP(B12,学生档案!$C:$J,8,FALSE),VLOOKUP(B12,学生档案!$C:$I,7,FALSE)),""))),""))</f>
        <v/>
      </c>
      <c r="F12" s="15" t="n"/>
      <c r="G12" s="22" t="n"/>
      <c r="H12" s="15" t="n"/>
      <c r="J12" s="27">
        <f>IF(每周积分!B12="","",每周积分!B12)</f>
        <v/>
      </c>
      <c r="K12" s="27">
        <f>IF(J12="","",IFERROR(INDEX(每周积分!C12:T12,1,每周积分!$X$1),0))</f>
        <v/>
      </c>
      <c r="L12" s="27">
        <f>IF(OR(J12="",每周积分!$X$1&lt;=1),"",IFERROR(INDEX(每周积分!C12:T12,1,每周积分!$X$1-1),0))</f>
        <v/>
      </c>
      <c r="M12" s="27">
        <f>IF(J12="","",IF(每周积分!$X$1&lt;=1,"",N(K12)-N(L12)))</f>
        <v/>
      </c>
    </row>
    <row r="13">
      <c r="A13" s="15" t="inlineStr">
        <is>
          <t>第11周</t>
        </is>
      </c>
      <c r="B13" s="15">
        <f>IF(每周积分!$X$1&lt;&gt;11,"",IFERROR(INDEX($J$3:$J$52,MATCH(MAX($M$3:$M$52),$M$3:$M$52,0)),""))</f>
        <v/>
      </c>
      <c r="C13" s="22" t="n"/>
      <c r="D13" s="22" t="n"/>
      <c r="E13" s="17">
        <f>IF(AND(B13="",C13="",D13=""),"",IFERROR(IF(AND(VLOOKUP(B13,学生档案!$C:$J,8,FALSE)&lt;&gt;"",OR(VLOOKUP(B13,学生档案!$C:$J,8,FALSE)=VLOOKUP(C13,学生档案!$C:$J,8,FALSE),VLOOKUP(B13,学生档案!$C:$J,8,FALSE)=VLOOKUP(D13,学生档案!$C:$J,8,FALSE))),VLOOKUP(B13,学生档案!$C:$J,8,FALSE),IF(AND(C13&lt;&gt;"",D13&lt;&gt;"",VLOOKUP(C13,学生档案!$C:$J,8,FALSE)=VLOOKUP(D13,学生档案!$C:$J,8,FALSE)),VLOOKUP(C13,学生档案!$C:$J,8,FALSE),IFERROR(IF(VLOOKUP(B13,学生档案!$C:$J,8,FALSE)&lt;&gt;"",VLOOKUP(B13,学生档案!$C:$J,8,FALSE),VLOOKUP(B13,学生档案!$C:$I,7,FALSE)),""))),""))</f>
        <v/>
      </c>
      <c r="F13" s="15" t="n"/>
      <c r="G13" s="22" t="n"/>
      <c r="H13" s="15" t="n"/>
      <c r="J13" s="27">
        <f>IF(每周积分!B13="","",每周积分!B13)</f>
        <v/>
      </c>
      <c r="K13" s="27">
        <f>IF(J13="","",IFERROR(INDEX(每周积分!C13:T13,1,每周积分!$X$1),0))</f>
        <v/>
      </c>
      <c r="L13" s="27">
        <f>IF(OR(J13="",每周积分!$X$1&lt;=1),"",IFERROR(INDEX(每周积分!C13:T13,1,每周积分!$X$1-1),0))</f>
        <v/>
      </c>
      <c r="M13" s="27">
        <f>IF(J13="","",IF(每周积分!$X$1&lt;=1,"",N(K13)-N(L13)))</f>
        <v/>
      </c>
    </row>
    <row r="14">
      <c r="A14" s="15" t="inlineStr">
        <is>
          <t>第12周</t>
        </is>
      </c>
      <c r="B14" s="15">
        <f>IF(每周积分!$X$1&lt;&gt;12,"",IFERROR(INDEX($J$3:$J$52,MATCH(MAX($M$3:$M$52),$M$3:$M$52,0)),""))</f>
        <v/>
      </c>
      <c r="C14" s="22" t="n"/>
      <c r="D14" s="22" t="n"/>
      <c r="E14" s="17">
        <f>IF(AND(B14="",C14="",D14=""),"",IFERROR(IF(AND(VLOOKUP(B14,学生档案!$C:$J,8,FALSE)&lt;&gt;"",OR(VLOOKUP(B14,学生档案!$C:$J,8,FALSE)=VLOOKUP(C14,学生档案!$C:$J,8,FALSE),VLOOKUP(B14,学生档案!$C:$J,8,FALSE)=VLOOKUP(D14,学生档案!$C:$J,8,FALSE))),VLOOKUP(B14,学生档案!$C:$J,8,FALSE),IF(AND(C14&lt;&gt;"",D14&lt;&gt;"",VLOOKUP(C14,学生档案!$C:$J,8,FALSE)=VLOOKUP(D14,学生档案!$C:$J,8,FALSE)),VLOOKUP(C14,学生档案!$C:$J,8,FALSE),IFERROR(IF(VLOOKUP(B14,学生档案!$C:$J,8,FALSE)&lt;&gt;"",VLOOKUP(B14,学生档案!$C:$J,8,FALSE),VLOOKUP(B14,学生档案!$C:$I,7,FALSE)),""))),""))</f>
        <v/>
      </c>
      <c r="F14" s="15" t="n"/>
      <c r="G14" s="22" t="n"/>
      <c r="H14" s="15" t="n"/>
      <c r="J14" s="27">
        <f>IF(每周积分!B14="","",每周积分!B14)</f>
        <v/>
      </c>
      <c r="K14" s="27">
        <f>IF(J14="","",IFERROR(INDEX(每周积分!C14:T14,1,每周积分!$X$1),0))</f>
        <v/>
      </c>
      <c r="L14" s="27">
        <f>IF(OR(J14="",每周积分!$X$1&lt;=1),"",IFERROR(INDEX(每周积分!C14:T14,1,每周积分!$X$1-1),0))</f>
        <v/>
      </c>
      <c r="M14" s="27">
        <f>IF(J14="","",IF(每周积分!$X$1&lt;=1,"",N(K14)-N(L14)))</f>
        <v/>
      </c>
    </row>
    <row r="15">
      <c r="A15" s="15" t="inlineStr">
        <is>
          <t>第13周</t>
        </is>
      </c>
      <c r="B15" s="15">
        <f>IF(每周积分!$X$1&lt;&gt;13,"",IFERROR(INDEX($J$3:$J$52,MATCH(MAX($M$3:$M$52),$M$3:$M$52,0)),""))</f>
        <v/>
      </c>
      <c r="C15" s="22" t="n"/>
      <c r="D15" s="22" t="n"/>
      <c r="E15" s="17">
        <f>IF(AND(B15="",C15="",D15=""),"",IFERROR(IF(AND(VLOOKUP(B15,学生档案!$C:$J,8,FALSE)&lt;&gt;"",OR(VLOOKUP(B15,学生档案!$C:$J,8,FALSE)=VLOOKUP(C15,学生档案!$C:$J,8,FALSE),VLOOKUP(B15,学生档案!$C:$J,8,FALSE)=VLOOKUP(D15,学生档案!$C:$J,8,FALSE))),VLOOKUP(B15,学生档案!$C:$J,8,FALSE),IF(AND(C15&lt;&gt;"",D15&lt;&gt;"",VLOOKUP(C15,学生档案!$C:$J,8,FALSE)=VLOOKUP(D15,学生档案!$C:$J,8,FALSE)),VLOOKUP(C15,学生档案!$C:$J,8,FALSE),IFERROR(IF(VLOOKUP(B15,学生档案!$C:$J,8,FALSE)&lt;&gt;"",VLOOKUP(B15,学生档案!$C:$J,8,FALSE),VLOOKUP(B15,学生档案!$C:$I,7,FALSE)),""))),""))</f>
        <v/>
      </c>
      <c r="F15" s="15" t="n"/>
      <c r="G15" s="22" t="n"/>
      <c r="H15" s="15" t="n"/>
      <c r="J15" s="27">
        <f>IF(每周积分!B15="","",每周积分!B15)</f>
        <v/>
      </c>
      <c r="K15" s="27">
        <f>IF(J15="","",IFERROR(INDEX(每周积分!C15:T15,1,每周积分!$X$1),0))</f>
        <v/>
      </c>
      <c r="L15" s="27">
        <f>IF(OR(J15="",每周积分!$X$1&lt;=1),"",IFERROR(INDEX(每周积分!C15:T15,1,每周积分!$X$1-1),0))</f>
        <v/>
      </c>
      <c r="M15" s="27">
        <f>IF(J15="","",IF(每周积分!$X$1&lt;=1,"",N(K15)-N(L15)))</f>
        <v/>
      </c>
    </row>
    <row r="16">
      <c r="A16" s="15" t="inlineStr">
        <is>
          <t>第14周</t>
        </is>
      </c>
      <c r="B16" s="15">
        <f>IF(每周积分!$X$1&lt;&gt;14,"",IFERROR(INDEX($J$3:$J$52,MATCH(MAX($M$3:$M$52),$M$3:$M$52,0)),""))</f>
        <v/>
      </c>
      <c r="C16" s="22" t="n"/>
      <c r="D16" s="22" t="n"/>
      <c r="E16" s="17">
        <f>IF(AND(B16="",C16="",D16=""),"",IFERROR(IF(AND(VLOOKUP(B16,学生档案!$C:$J,8,FALSE)&lt;&gt;"",OR(VLOOKUP(B16,学生档案!$C:$J,8,FALSE)=VLOOKUP(C16,学生档案!$C:$J,8,FALSE),VLOOKUP(B16,学生档案!$C:$J,8,FALSE)=VLOOKUP(D16,学生档案!$C:$J,8,FALSE))),VLOOKUP(B16,学生档案!$C:$J,8,FALSE),IF(AND(C16&lt;&gt;"",D16&lt;&gt;"",VLOOKUP(C16,学生档案!$C:$J,8,FALSE)=VLOOKUP(D16,学生档案!$C:$J,8,FALSE)),VLOOKUP(C16,学生档案!$C:$J,8,FALSE),IFERROR(IF(VLOOKUP(B16,学生档案!$C:$J,8,FALSE)&lt;&gt;"",VLOOKUP(B16,学生档案!$C:$J,8,FALSE),VLOOKUP(B16,学生档案!$C:$I,7,FALSE)),""))),""))</f>
        <v/>
      </c>
      <c r="F16" s="15" t="n"/>
      <c r="G16" s="22" t="n"/>
      <c r="H16" s="15" t="n"/>
      <c r="J16" s="27">
        <f>IF(每周积分!B16="","",每周积分!B16)</f>
        <v/>
      </c>
      <c r="K16" s="27">
        <f>IF(J16="","",IFERROR(INDEX(每周积分!C16:T16,1,每周积分!$X$1),0))</f>
        <v/>
      </c>
      <c r="L16" s="27">
        <f>IF(OR(J16="",每周积分!$X$1&lt;=1),"",IFERROR(INDEX(每周积分!C16:T16,1,每周积分!$X$1-1),0))</f>
        <v/>
      </c>
      <c r="M16" s="27">
        <f>IF(J16="","",IF(每周积分!$X$1&lt;=1,"",N(K16)-N(L16)))</f>
        <v/>
      </c>
    </row>
    <row r="17">
      <c r="A17" s="15" t="inlineStr">
        <is>
          <t>第15周</t>
        </is>
      </c>
      <c r="B17" s="15">
        <f>IF(每周积分!$X$1&lt;&gt;15,"",IFERROR(INDEX($J$3:$J$52,MATCH(MAX($M$3:$M$52),$M$3:$M$52,0)),""))</f>
        <v/>
      </c>
      <c r="C17" s="22" t="n"/>
      <c r="D17" s="22" t="n"/>
      <c r="E17" s="17">
        <f>IF(AND(B17="",C17="",D17=""),"",IFERROR(IF(AND(VLOOKUP(B17,学生档案!$C:$J,8,FALSE)&lt;&gt;"",OR(VLOOKUP(B17,学生档案!$C:$J,8,FALSE)=VLOOKUP(C17,学生档案!$C:$J,8,FALSE),VLOOKUP(B17,学生档案!$C:$J,8,FALSE)=VLOOKUP(D17,学生档案!$C:$J,8,FALSE))),VLOOKUP(B17,学生档案!$C:$J,8,FALSE),IF(AND(C17&lt;&gt;"",D17&lt;&gt;"",VLOOKUP(C17,学生档案!$C:$J,8,FALSE)=VLOOKUP(D17,学生档案!$C:$J,8,FALSE)),VLOOKUP(C17,学生档案!$C:$J,8,FALSE),IFERROR(IF(VLOOKUP(B17,学生档案!$C:$J,8,FALSE)&lt;&gt;"",VLOOKUP(B17,学生档案!$C:$J,8,FALSE),VLOOKUP(B17,学生档案!$C:$I,7,FALSE)),""))),""))</f>
        <v/>
      </c>
      <c r="F17" s="15" t="n"/>
      <c r="G17" s="22" t="n"/>
      <c r="H17" s="15" t="n"/>
      <c r="J17" s="27">
        <f>IF(每周积分!B17="","",每周积分!B17)</f>
        <v/>
      </c>
      <c r="K17" s="27">
        <f>IF(J17="","",IFERROR(INDEX(每周积分!C17:T17,1,每周积分!$X$1),0))</f>
        <v/>
      </c>
      <c r="L17" s="27">
        <f>IF(OR(J17="",每周积分!$X$1&lt;=1),"",IFERROR(INDEX(每周积分!C17:T17,1,每周积分!$X$1-1),0))</f>
        <v/>
      </c>
      <c r="M17" s="27">
        <f>IF(J17="","",IF(每周积分!$X$1&lt;=1,"",N(K17)-N(L17)))</f>
        <v/>
      </c>
    </row>
    <row r="18">
      <c r="A18" s="15" t="inlineStr">
        <is>
          <t>第16周</t>
        </is>
      </c>
      <c r="B18" s="15">
        <f>IF(每周积分!$X$1&lt;&gt;16,"",IFERROR(INDEX($J$3:$J$52,MATCH(MAX($M$3:$M$52),$M$3:$M$52,0)),""))</f>
        <v/>
      </c>
      <c r="C18" s="22" t="n"/>
      <c r="D18" s="22" t="n"/>
      <c r="E18" s="17">
        <f>IF(AND(B18="",C18="",D18=""),"",IFERROR(IF(AND(VLOOKUP(B18,学生档案!$C:$J,8,FALSE)&lt;&gt;"",OR(VLOOKUP(B18,学生档案!$C:$J,8,FALSE)=VLOOKUP(C18,学生档案!$C:$J,8,FALSE),VLOOKUP(B18,学生档案!$C:$J,8,FALSE)=VLOOKUP(D18,学生档案!$C:$J,8,FALSE))),VLOOKUP(B18,学生档案!$C:$J,8,FALSE),IF(AND(C18&lt;&gt;"",D18&lt;&gt;"",VLOOKUP(C18,学生档案!$C:$J,8,FALSE)=VLOOKUP(D18,学生档案!$C:$J,8,FALSE)),VLOOKUP(C18,学生档案!$C:$J,8,FALSE),IFERROR(IF(VLOOKUP(B18,学生档案!$C:$J,8,FALSE)&lt;&gt;"",VLOOKUP(B18,学生档案!$C:$J,8,FALSE),VLOOKUP(B18,学生档案!$C:$I,7,FALSE)),""))),""))</f>
        <v/>
      </c>
      <c r="F18" s="15" t="n"/>
      <c r="G18" s="22" t="n"/>
      <c r="H18" s="15" t="n"/>
      <c r="J18" s="27">
        <f>IF(每周积分!B18="","",每周积分!B18)</f>
        <v/>
      </c>
      <c r="K18" s="27">
        <f>IF(J18="","",IFERROR(INDEX(每周积分!C18:T18,1,每周积分!$X$1),0))</f>
        <v/>
      </c>
      <c r="L18" s="27">
        <f>IF(OR(J18="",每周积分!$X$1&lt;=1),"",IFERROR(INDEX(每周积分!C18:T18,1,每周积分!$X$1-1),0))</f>
        <v/>
      </c>
      <c r="M18" s="27">
        <f>IF(J18="","",IF(每周积分!$X$1&lt;=1,"",N(K18)-N(L18)))</f>
        <v/>
      </c>
    </row>
    <row r="19">
      <c r="A19" s="15" t="inlineStr">
        <is>
          <t>第17周</t>
        </is>
      </c>
      <c r="B19" s="15">
        <f>IF(每周积分!$X$1&lt;&gt;17,"",IFERROR(INDEX($J$3:$J$52,MATCH(MAX($M$3:$M$52),$M$3:$M$52,0)),""))</f>
        <v/>
      </c>
      <c r="C19" s="22" t="n"/>
      <c r="D19" s="22" t="n"/>
      <c r="E19" s="17">
        <f>IF(AND(B19="",C19="",D19=""),"",IFERROR(IF(AND(VLOOKUP(B19,学生档案!$C:$J,8,FALSE)&lt;&gt;"",OR(VLOOKUP(B19,学生档案!$C:$J,8,FALSE)=VLOOKUP(C19,学生档案!$C:$J,8,FALSE),VLOOKUP(B19,学生档案!$C:$J,8,FALSE)=VLOOKUP(D19,学生档案!$C:$J,8,FALSE))),VLOOKUP(B19,学生档案!$C:$J,8,FALSE),IF(AND(C19&lt;&gt;"",D19&lt;&gt;"",VLOOKUP(C19,学生档案!$C:$J,8,FALSE)=VLOOKUP(D19,学生档案!$C:$J,8,FALSE)),VLOOKUP(C19,学生档案!$C:$J,8,FALSE),IFERROR(IF(VLOOKUP(B19,学生档案!$C:$J,8,FALSE)&lt;&gt;"",VLOOKUP(B19,学生档案!$C:$J,8,FALSE),VLOOKUP(B19,学生档案!$C:$I,7,FALSE)),""))),""))</f>
        <v/>
      </c>
      <c r="F19" s="15" t="n"/>
      <c r="G19" s="22" t="n"/>
      <c r="H19" s="15" t="n"/>
      <c r="J19" s="27">
        <f>IF(每周积分!B19="","",每周积分!B19)</f>
        <v/>
      </c>
      <c r="K19" s="27">
        <f>IF(J19="","",IFERROR(INDEX(每周积分!C19:T19,1,每周积分!$X$1),0))</f>
        <v/>
      </c>
      <c r="L19" s="27">
        <f>IF(OR(J19="",每周积分!$X$1&lt;=1),"",IFERROR(INDEX(每周积分!C19:T19,1,每周积分!$X$1-1),0))</f>
        <v/>
      </c>
      <c r="M19" s="27">
        <f>IF(J19="","",IF(每周积分!$X$1&lt;=1,"",N(K19)-N(L19)))</f>
        <v/>
      </c>
    </row>
    <row r="20">
      <c r="A20" s="15" t="inlineStr">
        <is>
          <t>第18周</t>
        </is>
      </c>
      <c r="B20" s="15">
        <f>IF(每周积分!$X$1&lt;&gt;18,"",IFERROR(INDEX($J$3:$J$52,MATCH(MAX($M$3:$M$52),$M$3:$M$52,0)),""))</f>
        <v/>
      </c>
      <c r="C20" s="22" t="n"/>
      <c r="D20" s="22" t="n"/>
      <c r="E20" s="17">
        <f>IF(AND(B20="",C20="",D20=""),"",IFERROR(IF(AND(VLOOKUP(B20,学生档案!$C:$J,8,FALSE)&lt;&gt;"",OR(VLOOKUP(B20,学生档案!$C:$J,8,FALSE)=VLOOKUP(C20,学生档案!$C:$J,8,FALSE),VLOOKUP(B20,学生档案!$C:$J,8,FALSE)=VLOOKUP(D20,学生档案!$C:$J,8,FALSE))),VLOOKUP(B20,学生档案!$C:$J,8,FALSE),IF(AND(C20&lt;&gt;"",D20&lt;&gt;"",VLOOKUP(C20,学生档案!$C:$J,8,FALSE)=VLOOKUP(D20,学生档案!$C:$J,8,FALSE)),VLOOKUP(C20,学生档案!$C:$J,8,FALSE),IFERROR(IF(VLOOKUP(B20,学生档案!$C:$J,8,FALSE)&lt;&gt;"",VLOOKUP(B20,学生档案!$C:$J,8,FALSE),VLOOKUP(B20,学生档案!$C:$I,7,FALSE)),""))),""))</f>
        <v/>
      </c>
      <c r="F20" s="15" t="n"/>
      <c r="G20" s="22" t="n"/>
      <c r="H20" s="15" t="n"/>
      <c r="J20" s="27">
        <f>IF(每周积分!B20="","",每周积分!B20)</f>
        <v/>
      </c>
      <c r="K20" s="27">
        <f>IF(J20="","",IFERROR(INDEX(每周积分!C20:T20,1,每周积分!$X$1),0))</f>
        <v/>
      </c>
      <c r="L20" s="27">
        <f>IF(OR(J20="",每周积分!$X$1&lt;=1),"",IFERROR(INDEX(每周积分!C20:T20,1,每周积分!$X$1-1),0))</f>
        <v/>
      </c>
      <c r="M20" s="27">
        <f>IF(J20="","",IF(每周积分!$X$1&lt;=1,"",N(K20)-N(L20)))</f>
        <v/>
      </c>
    </row>
    <row r="21">
      <c r="J21" s="27">
        <f>IF(每周积分!B21="","",每周积分!B21)</f>
        <v/>
      </c>
      <c r="K21" s="27">
        <f>IF(J21="","",IFERROR(INDEX(每周积分!C21:T21,1,每周积分!$X$1),0))</f>
        <v/>
      </c>
      <c r="L21" s="27">
        <f>IF(OR(J21="",每周积分!$X$1&lt;=1),"",IFERROR(INDEX(每周积分!C21:T21,1,每周积分!$X$1-1),0))</f>
        <v/>
      </c>
      <c r="M21" s="27">
        <f>IF(J21="","",IF(每周积分!$X$1&lt;=1,"",N(K21)-N(L21)))</f>
        <v/>
      </c>
    </row>
    <row r="22">
      <c r="J22" s="27">
        <f>IF(每周积分!B22="","",每周积分!B22)</f>
        <v/>
      </c>
      <c r="K22" s="27">
        <f>IF(J22="","",IFERROR(INDEX(每周积分!C22:T22,1,每周积分!$X$1),0))</f>
        <v/>
      </c>
      <c r="L22" s="27">
        <f>IF(OR(J22="",每周积分!$X$1&lt;=1),"",IFERROR(INDEX(每周积分!C22:T22,1,每周积分!$X$1-1),0))</f>
        <v/>
      </c>
      <c r="M22" s="27">
        <f>IF(J22="","",IF(每周积分!$X$1&lt;=1,"",N(K22)-N(L22)))</f>
        <v/>
      </c>
    </row>
    <row r="23">
      <c r="J23" s="27">
        <f>IF(每周积分!B23="","",每周积分!B23)</f>
        <v/>
      </c>
      <c r="K23" s="27">
        <f>IF(J23="","",IFERROR(INDEX(每周积分!C23:T23,1,每周积分!$X$1),0))</f>
        <v/>
      </c>
      <c r="L23" s="27">
        <f>IF(OR(J23="",每周积分!$X$1&lt;=1),"",IFERROR(INDEX(每周积分!C23:T23,1,每周积分!$X$1-1),0))</f>
        <v/>
      </c>
      <c r="M23" s="27">
        <f>IF(J23="","",IF(每周积分!$X$1&lt;=1,"",N(K23)-N(L23)))</f>
        <v/>
      </c>
    </row>
    <row r="24">
      <c r="J24" s="27">
        <f>IF(每周积分!B24="","",每周积分!B24)</f>
        <v/>
      </c>
      <c r="K24" s="27">
        <f>IF(J24="","",IFERROR(INDEX(每周积分!C24:T24,1,每周积分!$X$1),0))</f>
        <v/>
      </c>
      <c r="L24" s="27">
        <f>IF(OR(J24="",每周积分!$X$1&lt;=1),"",IFERROR(INDEX(每周积分!C24:T24,1,每周积分!$X$1-1),0))</f>
        <v/>
      </c>
      <c r="M24" s="27">
        <f>IF(J24="","",IF(每周积分!$X$1&lt;=1,"",N(K24)-N(L24)))</f>
        <v/>
      </c>
    </row>
    <row r="25">
      <c r="J25" s="27">
        <f>IF(每周积分!B25="","",每周积分!B25)</f>
        <v/>
      </c>
      <c r="K25" s="27">
        <f>IF(J25="","",IFERROR(INDEX(每周积分!C25:T25,1,每周积分!$X$1),0))</f>
        <v/>
      </c>
      <c r="L25" s="27">
        <f>IF(OR(J25="",每周积分!$X$1&lt;=1),"",IFERROR(INDEX(每周积分!C25:T25,1,每周积分!$X$1-1),0))</f>
        <v/>
      </c>
      <c r="M25" s="27">
        <f>IF(J25="","",IF(每周积分!$X$1&lt;=1,"",N(K25)-N(L25)))</f>
        <v/>
      </c>
    </row>
    <row r="26">
      <c r="J26" s="27">
        <f>IF(每周积分!B26="","",每周积分!B26)</f>
        <v/>
      </c>
      <c r="K26" s="27">
        <f>IF(J26="","",IFERROR(INDEX(每周积分!C26:T26,1,每周积分!$X$1),0))</f>
        <v/>
      </c>
      <c r="L26" s="27">
        <f>IF(OR(J26="",每周积分!$X$1&lt;=1),"",IFERROR(INDEX(每周积分!C26:T26,1,每周积分!$X$1-1),0))</f>
        <v/>
      </c>
      <c r="M26" s="27">
        <f>IF(J26="","",IF(每周积分!$X$1&lt;=1,"",N(K26)-N(L26)))</f>
        <v/>
      </c>
    </row>
    <row r="27">
      <c r="J27" s="27">
        <f>IF(每周积分!B27="","",每周积分!B27)</f>
        <v/>
      </c>
      <c r="K27" s="27">
        <f>IF(J27="","",IFERROR(INDEX(每周积分!C27:T27,1,每周积分!$X$1),0))</f>
        <v/>
      </c>
      <c r="L27" s="27">
        <f>IF(OR(J27="",每周积分!$X$1&lt;=1),"",IFERROR(INDEX(每周积分!C27:T27,1,每周积分!$X$1-1),0))</f>
        <v/>
      </c>
      <c r="M27" s="27">
        <f>IF(J27="","",IF(每周积分!$X$1&lt;=1,"",N(K27)-N(L27)))</f>
        <v/>
      </c>
    </row>
    <row r="28">
      <c r="J28" s="27">
        <f>IF(每周积分!B28="","",每周积分!B28)</f>
        <v/>
      </c>
      <c r="K28" s="27">
        <f>IF(J28="","",IFERROR(INDEX(每周积分!C28:T28,1,每周积分!$X$1),0))</f>
        <v/>
      </c>
      <c r="L28" s="27">
        <f>IF(OR(J28="",每周积分!$X$1&lt;=1),"",IFERROR(INDEX(每周积分!C28:T28,1,每周积分!$X$1-1),0))</f>
        <v/>
      </c>
      <c r="M28" s="27">
        <f>IF(J28="","",IF(每周积分!$X$1&lt;=1,"",N(K28)-N(L28)))</f>
        <v/>
      </c>
    </row>
    <row r="29">
      <c r="J29" s="27">
        <f>IF(每周积分!B29="","",每周积分!B29)</f>
        <v/>
      </c>
      <c r="K29" s="27">
        <f>IF(J29="","",IFERROR(INDEX(每周积分!C29:T29,1,每周积分!$X$1),0))</f>
        <v/>
      </c>
      <c r="L29" s="27">
        <f>IF(OR(J29="",每周积分!$X$1&lt;=1),"",IFERROR(INDEX(每周积分!C29:T29,1,每周积分!$X$1-1),0))</f>
        <v/>
      </c>
      <c r="M29" s="27">
        <f>IF(J29="","",IF(每周积分!$X$1&lt;=1,"",N(K29)-N(L29)))</f>
        <v/>
      </c>
    </row>
    <row r="30">
      <c r="J30" s="27">
        <f>IF(每周积分!B30="","",每周积分!B30)</f>
        <v/>
      </c>
      <c r="K30" s="27">
        <f>IF(J30="","",IFERROR(INDEX(每周积分!C30:T30,1,每周积分!$X$1),0))</f>
        <v/>
      </c>
      <c r="L30" s="27">
        <f>IF(OR(J30="",每周积分!$X$1&lt;=1),"",IFERROR(INDEX(每周积分!C30:T30,1,每周积分!$X$1-1),0))</f>
        <v/>
      </c>
      <c r="M30" s="27">
        <f>IF(J30="","",IF(每周积分!$X$1&lt;=1,"",N(K30)-N(L30)))</f>
        <v/>
      </c>
    </row>
    <row r="31">
      <c r="J31" s="27">
        <f>IF(每周积分!B31="","",每周积分!B31)</f>
        <v/>
      </c>
      <c r="K31" s="27">
        <f>IF(J31="","",IFERROR(INDEX(每周积分!C31:T31,1,每周积分!$X$1),0))</f>
        <v/>
      </c>
      <c r="L31" s="27">
        <f>IF(OR(J31="",每周积分!$X$1&lt;=1),"",IFERROR(INDEX(每周积分!C31:T31,1,每周积分!$X$1-1),0))</f>
        <v/>
      </c>
      <c r="M31" s="27">
        <f>IF(J31="","",IF(每周积分!$X$1&lt;=1,"",N(K31)-N(L31)))</f>
        <v/>
      </c>
    </row>
    <row r="32">
      <c r="J32" s="27">
        <f>IF(每周积分!B32="","",每周积分!B32)</f>
        <v/>
      </c>
      <c r="K32" s="27">
        <f>IF(J32="","",IFERROR(INDEX(每周积分!C32:T32,1,每周积分!$X$1),0))</f>
        <v/>
      </c>
      <c r="L32" s="27">
        <f>IF(OR(J32="",每周积分!$X$1&lt;=1),"",IFERROR(INDEX(每周积分!C32:T32,1,每周积分!$X$1-1),0))</f>
        <v/>
      </c>
      <c r="M32" s="27">
        <f>IF(J32="","",IF(每周积分!$X$1&lt;=1,"",N(K32)-N(L32)))</f>
        <v/>
      </c>
    </row>
    <row r="33">
      <c r="J33" s="27">
        <f>IF(每周积分!B33="","",每周积分!B33)</f>
        <v/>
      </c>
      <c r="K33" s="27">
        <f>IF(J33="","",IFERROR(INDEX(每周积分!C33:T33,1,每周积分!$X$1),0))</f>
        <v/>
      </c>
      <c r="L33" s="27">
        <f>IF(OR(J33="",每周积分!$X$1&lt;=1),"",IFERROR(INDEX(每周积分!C33:T33,1,每周积分!$X$1-1),0))</f>
        <v/>
      </c>
      <c r="M33" s="27">
        <f>IF(J33="","",IF(每周积分!$X$1&lt;=1,"",N(K33)-N(L33)))</f>
        <v/>
      </c>
    </row>
    <row r="34">
      <c r="J34" s="27">
        <f>IF(每周积分!B34="","",每周积分!B34)</f>
        <v/>
      </c>
      <c r="K34" s="27">
        <f>IF(J34="","",IFERROR(INDEX(每周积分!C34:T34,1,每周积分!$X$1),0))</f>
        <v/>
      </c>
      <c r="L34" s="27">
        <f>IF(OR(J34="",每周积分!$X$1&lt;=1),"",IFERROR(INDEX(每周积分!C34:T34,1,每周积分!$X$1-1),0))</f>
        <v/>
      </c>
      <c r="M34" s="27">
        <f>IF(J34="","",IF(每周积分!$X$1&lt;=1,"",N(K34)-N(L34)))</f>
        <v/>
      </c>
    </row>
    <row r="35">
      <c r="J35" s="27">
        <f>IF(每周积分!B35="","",每周积分!B35)</f>
        <v/>
      </c>
      <c r="K35" s="27">
        <f>IF(J35="","",IFERROR(INDEX(每周积分!C35:T35,1,每周积分!$X$1),0))</f>
        <v/>
      </c>
      <c r="L35" s="27">
        <f>IF(OR(J35="",每周积分!$X$1&lt;=1),"",IFERROR(INDEX(每周积分!C35:T35,1,每周积分!$X$1-1),0))</f>
        <v/>
      </c>
      <c r="M35" s="27">
        <f>IF(J35="","",IF(每周积分!$X$1&lt;=1,"",N(K35)-N(L35)))</f>
        <v/>
      </c>
    </row>
    <row r="36">
      <c r="J36" s="27">
        <f>IF(每周积分!B36="","",每周积分!B36)</f>
        <v/>
      </c>
      <c r="K36" s="27">
        <f>IF(J36="","",IFERROR(INDEX(每周积分!C36:T36,1,每周积分!$X$1),0))</f>
        <v/>
      </c>
      <c r="L36" s="27">
        <f>IF(OR(J36="",每周积分!$X$1&lt;=1),"",IFERROR(INDEX(每周积分!C36:T36,1,每周积分!$X$1-1),0))</f>
        <v/>
      </c>
      <c r="M36" s="27">
        <f>IF(J36="","",IF(每周积分!$X$1&lt;=1,"",N(K36)-N(L36)))</f>
        <v/>
      </c>
    </row>
    <row r="37">
      <c r="J37" s="27">
        <f>IF(每周积分!B37="","",每周积分!B37)</f>
        <v/>
      </c>
      <c r="K37" s="27">
        <f>IF(J37="","",IFERROR(INDEX(每周积分!C37:T37,1,每周积分!$X$1),0))</f>
        <v/>
      </c>
      <c r="L37" s="27">
        <f>IF(OR(J37="",每周积分!$X$1&lt;=1),"",IFERROR(INDEX(每周积分!C37:T37,1,每周积分!$X$1-1),0))</f>
        <v/>
      </c>
      <c r="M37" s="27">
        <f>IF(J37="","",IF(每周积分!$X$1&lt;=1,"",N(K37)-N(L37)))</f>
        <v/>
      </c>
    </row>
    <row r="38">
      <c r="J38" s="27">
        <f>IF(每周积分!B38="","",每周积分!B38)</f>
        <v/>
      </c>
      <c r="K38" s="27">
        <f>IF(J38="","",IFERROR(INDEX(每周积分!C38:T38,1,每周积分!$X$1),0))</f>
        <v/>
      </c>
      <c r="L38" s="27">
        <f>IF(OR(J38="",每周积分!$X$1&lt;=1),"",IFERROR(INDEX(每周积分!C38:T38,1,每周积分!$X$1-1),0))</f>
        <v/>
      </c>
      <c r="M38" s="27">
        <f>IF(J38="","",IF(每周积分!$X$1&lt;=1,"",N(K38)-N(L38)))</f>
        <v/>
      </c>
    </row>
    <row r="39">
      <c r="J39" s="27">
        <f>IF(每周积分!B39="","",每周积分!B39)</f>
        <v/>
      </c>
      <c r="K39" s="27">
        <f>IF(J39="","",IFERROR(INDEX(每周积分!C39:T39,1,每周积分!$X$1),0))</f>
        <v/>
      </c>
      <c r="L39" s="27">
        <f>IF(OR(J39="",每周积分!$X$1&lt;=1),"",IFERROR(INDEX(每周积分!C39:T39,1,每周积分!$X$1-1),0))</f>
        <v/>
      </c>
      <c r="M39" s="27">
        <f>IF(J39="","",IF(每周积分!$X$1&lt;=1,"",N(K39)-N(L39)))</f>
        <v/>
      </c>
    </row>
    <row r="40">
      <c r="J40" s="27">
        <f>IF(每周积分!B40="","",每周积分!B40)</f>
        <v/>
      </c>
      <c r="K40" s="27">
        <f>IF(J40="","",IFERROR(INDEX(每周积分!C40:T40,1,每周积分!$X$1),0))</f>
        <v/>
      </c>
      <c r="L40" s="27">
        <f>IF(OR(J40="",每周积分!$X$1&lt;=1),"",IFERROR(INDEX(每周积分!C40:T40,1,每周积分!$X$1-1),0))</f>
        <v/>
      </c>
      <c r="M40" s="27">
        <f>IF(J40="","",IF(每周积分!$X$1&lt;=1,"",N(K40)-N(L40)))</f>
        <v/>
      </c>
    </row>
    <row r="41">
      <c r="J41" s="27">
        <f>IF(每周积分!B41="","",每周积分!B41)</f>
        <v/>
      </c>
      <c r="K41" s="27">
        <f>IF(J41="","",IFERROR(INDEX(每周积分!C41:T41,1,每周积分!$X$1),0))</f>
        <v/>
      </c>
      <c r="L41" s="27">
        <f>IF(OR(J41="",每周积分!$X$1&lt;=1),"",IFERROR(INDEX(每周积分!C41:T41,1,每周积分!$X$1-1),0))</f>
        <v/>
      </c>
      <c r="M41" s="27">
        <f>IF(J41="","",IF(每周积分!$X$1&lt;=1,"",N(K41)-N(L41)))</f>
        <v/>
      </c>
    </row>
    <row r="42">
      <c r="J42" s="27">
        <f>IF(每周积分!B42="","",每周积分!B42)</f>
        <v/>
      </c>
      <c r="K42" s="27">
        <f>IF(J42="","",IFERROR(INDEX(每周积分!C42:T42,1,每周积分!$X$1),0))</f>
        <v/>
      </c>
      <c r="L42" s="27">
        <f>IF(OR(J42="",每周积分!$X$1&lt;=1),"",IFERROR(INDEX(每周积分!C42:T42,1,每周积分!$X$1-1),0))</f>
        <v/>
      </c>
      <c r="M42" s="27">
        <f>IF(J42="","",IF(每周积分!$X$1&lt;=1,"",N(K42)-N(L42)))</f>
        <v/>
      </c>
    </row>
    <row r="43">
      <c r="J43" s="27">
        <f>IF(每周积分!B43="","",每周积分!B43)</f>
        <v/>
      </c>
      <c r="K43" s="27">
        <f>IF(J43="","",IFERROR(INDEX(每周积分!C43:T43,1,每周积分!$X$1),0))</f>
        <v/>
      </c>
      <c r="L43" s="27">
        <f>IF(OR(J43="",每周积分!$X$1&lt;=1),"",IFERROR(INDEX(每周积分!C43:T43,1,每周积分!$X$1-1),0))</f>
        <v/>
      </c>
      <c r="M43" s="27">
        <f>IF(J43="","",IF(每周积分!$X$1&lt;=1,"",N(K43)-N(L43)))</f>
        <v/>
      </c>
    </row>
    <row r="44">
      <c r="J44" s="27">
        <f>IF(每周积分!B44="","",每周积分!B44)</f>
        <v/>
      </c>
      <c r="K44" s="27">
        <f>IF(J44="","",IFERROR(INDEX(每周积分!C44:T44,1,每周积分!$X$1),0))</f>
        <v/>
      </c>
      <c r="L44" s="27">
        <f>IF(OR(J44="",每周积分!$X$1&lt;=1),"",IFERROR(INDEX(每周积分!C44:T44,1,每周积分!$X$1-1),0))</f>
        <v/>
      </c>
      <c r="M44" s="27">
        <f>IF(J44="","",IF(每周积分!$X$1&lt;=1,"",N(K44)-N(L44)))</f>
        <v/>
      </c>
    </row>
    <row r="45">
      <c r="J45" s="27">
        <f>IF(每周积分!B45="","",每周积分!B45)</f>
        <v/>
      </c>
      <c r="K45" s="27">
        <f>IF(J45="","",IFERROR(INDEX(每周积分!C45:T45,1,每周积分!$X$1),0))</f>
        <v/>
      </c>
      <c r="L45" s="27">
        <f>IF(OR(J45="",每周积分!$X$1&lt;=1),"",IFERROR(INDEX(每周积分!C45:T45,1,每周积分!$X$1-1),0))</f>
        <v/>
      </c>
      <c r="M45" s="27">
        <f>IF(J45="","",IF(每周积分!$X$1&lt;=1,"",N(K45)-N(L45)))</f>
        <v/>
      </c>
    </row>
    <row r="46">
      <c r="J46" s="27">
        <f>IF(每周积分!B46="","",每周积分!B46)</f>
        <v/>
      </c>
      <c r="K46" s="27">
        <f>IF(J46="","",IFERROR(INDEX(每周积分!C46:T46,1,每周积分!$X$1),0))</f>
        <v/>
      </c>
      <c r="L46" s="27">
        <f>IF(OR(J46="",每周积分!$X$1&lt;=1),"",IFERROR(INDEX(每周积分!C46:T46,1,每周积分!$X$1-1),0))</f>
        <v/>
      </c>
      <c r="M46" s="27">
        <f>IF(J46="","",IF(每周积分!$X$1&lt;=1,"",N(K46)-N(L46)))</f>
        <v/>
      </c>
    </row>
    <row r="47">
      <c r="J47" s="27">
        <f>IF(每周积分!B47="","",每周积分!B47)</f>
        <v/>
      </c>
      <c r="K47" s="27">
        <f>IF(J47="","",IFERROR(INDEX(每周积分!C47:T47,1,每周积分!$X$1),0))</f>
        <v/>
      </c>
      <c r="L47" s="27">
        <f>IF(OR(J47="",每周积分!$X$1&lt;=1),"",IFERROR(INDEX(每周积分!C47:T47,1,每周积分!$X$1-1),0))</f>
        <v/>
      </c>
      <c r="M47" s="27">
        <f>IF(J47="","",IF(每周积分!$X$1&lt;=1,"",N(K47)-N(L47)))</f>
        <v/>
      </c>
    </row>
    <row r="48">
      <c r="J48" s="27">
        <f>IF(每周积分!B48="","",每周积分!B48)</f>
        <v/>
      </c>
      <c r="K48" s="27">
        <f>IF(J48="","",IFERROR(INDEX(每周积分!C48:T48,1,每周积分!$X$1),0))</f>
        <v/>
      </c>
      <c r="L48" s="27">
        <f>IF(OR(J48="",每周积分!$X$1&lt;=1),"",IFERROR(INDEX(每周积分!C48:T48,1,每周积分!$X$1-1),0))</f>
        <v/>
      </c>
      <c r="M48" s="27">
        <f>IF(J48="","",IF(每周积分!$X$1&lt;=1,"",N(K48)-N(L48)))</f>
        <v/>
      </c>
    </row>
    <row r="49">
      <c r="J49" s="27">
        <f>IF(每周积分!B49="","",每周积分!B49)</f>
        <v/>
      </c>
      <c r="K49" s="27">
        <f>IF(J49="","",IFERROR(INDEX(每周积分!C49:T49,1,每周积分!$X$1),0))</f>
        <v/>
      </c>
      <c r="L49" s="27">
        <f>IF(OR(J49="",每周积分!$X$1&lt;=1),"",IFERROR(INDEX(每周积分!C49:T49,1,每周积分!$X$1-1),0))</f>
        <v/>
      </c>
      <c r="M49" s="27">
        <f>IF(J49="","",IF(每周积分!$X$1&lt;=1,"",N(K49)-N(L49)))</f>
        <v/>
      </c>
    </row>
    <row r="50">
      <c r="J50" s="27">
        <f>IF(每周积分!B50="","",每周积分!B50)</f>
        <v/>
      </c>
      <c r="K50" s="27">
        <f>IF(J50="","",IFERROR(INDEX(每周积分!C50:T50,1,每周积分!$X$1),0))</f>
        <v/>
      </c>
      <c r="L50" s="27">
        <f>IF(OR(J50="",每周积分!$X$1&lt;=1),"",IFERROR(INDEX(每周积分!C50:T50,1,每周积分!$X$1-1),0))</f>
        <v/>
      </c>
      <c r="M50" s="27">
        <f>IF(J50="","",IF(每周积分!$X$1&lt;=1,"",N(K50)-N(L50)))</f>
        <v/>
      </c>
    </row>
    <row r="51">
      <c r="J51" s="27">
        <f>IF(每周积分!B51="","",每周积分!B51)</f>
        <v/>
      </c>
      <c r="K51" s="27">
        <f>IF(J51="","",IFERROR(INDEX(每周积分!C51:T51,1,每周积分!$X$1),0))</f>
        <v/>
      </c>
      <c r="L51" s="27">
        <f>IF(OR(J51="",每周积分!$X$1&lt;=1),"",IFERROR(INDEX(每周积分!C51:T51,1,每周积分!$X$1-1),0))</f>
        <v/>
      </c>
      <c r="M51" s="27">
        <f>IF(J51="","",IF(每周积分!$X$1&lt;=1,"",N(K51)-N(L51)))</f>
        <v/>
      </c>
    </row>
    <row r="52">
      <c r="J52" s="27">
        <f>IF(每周积分!B52="","",每周积分!B52)</f>
        <v/>
      </c>
      <c r="K52" s="27">
        <f>IF(J52="","",IFERROR(INDEX(每周积分!C52:T52,1,每周积分!$X$1),0))</f>
        <v/>
      </c>
      <c r="L52" s="27">
        <f>IF(OR(J52="",每周积分!$X$1&lt;=1),"",IFERROR(INDEX(每周积分!C52:T52,1,每周积分!$X$1-1),0))</f>
        <v/>
      </c>
      <c r="M52" s="27">
        <f>IF(J52="","",IF(每周积分!$X$1&lt;=1,"",N(K52)-N(L52)))</f>
        <v/>
      </c>
    </row>
  </sheetData>
  <mergeCells count="1">
    <mergeCell ref="A1:H1"/>
  </mergeCells>
  <dataValidations count="2">
    <dataValidation sqref="C3:D20" showDropDown="0" showInputMessage="0" showErrorMessage="0" allowBlank="1" type="list">
      <formula1>=$J$3:$J$52</formula1>
    </dataValidation>
    <dataValidation sqref="G3:G20" showDropDown="0" showInputMessage="0" showErrorMessage="0" allowBlank="1" type="list">
      <formula1>"未做,已生成,已贴墙"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A1B9A"/>
    <outlinePr summaryBelow="1" summaryRight="1"/>
    <pageSetUpPr/>
  </sheetPr>
  <dimension ref="A1:F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6" customWidth="1" min="1" max="1"/>
    <col width="22" customWidth="1" min="2" max="2"/>
    <col width="10" customWidth="1" min="3" max="3"/>
    <col width="10" customWidth="1" min="4" max="4"/>
    <col width="42" customWidth="1" min="5" max="5"/>
    <col width="8" customWidth="1" min="6" max="6"/>
  </cols>
  <sheetData>
    <row r="1" ht="52" customHeight="1">
      <c r="A1" s="4" t="inlineStr">
        <is>
          <t>公式自动数。收齐后看第5/18/19/20题。</t>
        </is>
      </c>
      <c r="B1" s="46" t="n"/>
      <c r="C1" s="46" t="n"/>
      <c r="D1" s="46" t="n"/>
      <c r="E1" s="46" t="n"/>
      <c r="F1" s="47" t="n"/>
    </row>
    <row r="2" ht="36" customHeight="1">
      <c r="A2" s="20" t="inlineStr">
        <is>
          <t>统计项</t>
        </is>
      </c>
      <c r="B2" s="20" t="inlineStr">
        <is>
          <t>选项</t>
        </is>
      </c>
      <c r="C2" s="20" t="inlineStr">
        <is>
          <t>人数</t>
        </is>
      </c>
      <c r="D2" s="20" t="inlineStr">
        <is>
          <t>占比</t>
        </is>
      </c>
      <c r="E2" s="20" t="inlineStr">
        <is>
          <t>用途</t>
        </is>
      </c>
      <c r="F2" s="20" t="inlineStr">
        <is>
          <t>列</t>
        </is>
      </c>
    </row>
    <row r="3">
      <c r="A3" s="28" t="inlineStr">
        <is>
          <t>1 以前接触过会计吗</t>
        </is>
      </c>
      <c r="B3" s="28" t="inlineStr">
        <is>
          <t>完全没有</t>
        </is>
      </c>
      <c r="C3" s="28">
        <f>COUNTIF(学生档案!$E$3:$E$52,B3)</f>
        <v/>
      </c>
      <c r="D3" s="29">
        <f>IF(COUNTA(学生档案!$C$3:$C$52)=0,"",C3/COUNTA(学生档案!$C$3:$C$52))</f>
        <v/>
      </c>
      <c r="E3" s="28" t="inlineStr">
        <is>
          <t>分组：每组放一个完全没有的</t>
        </is>
      </c>
      <c r="F3" s="28" t="inlineStr">
        <is>
          <t>E</t>
        </is>
      </c>
    </row>
    <row r="4">
      <c r="A4" s="28" t="n"/>
      <c r="B4" s="28" t="inlineStr">
        <is>
          <t>听说过没学过</t>
        </is>
      </c>
      <c r="C4" s="28">
        <f>COUNTIF(学生档案!$E$3:$E$52,B4)</f>
        <v/>
      </c>
      <c r="D4" s="29">
        <f>IF(COUNTA(学生档案!$C$3:$C$52)=0,"",C4/COUNTA(学生档案!$C$3:$C$52))</f>
        <v/>
      </c>
      <c r="E4" s="28" t="inlineStr">
        <is>
          <t>分组：每组放一个完全没有的</t>
        </is>
      </c>
      <c r="F4" s="28" t="inlineStr">
        <is>
          <t>E</t>
        </is>
      </c>
    </row>
    <row r="5">
      <c r="A5" s="28" t="n"/>
      <c r="B5" s="28" t="inlineStr">
        <is>
          <t>家里有人做会计</t>
        </is>
      </c>
      <c r="C5" s="28">
        <f>COUNTIF(学生档案!$E$3:$E$52,B5)</f>
        <v/>
      </c>
      <c r="D5" s="29">
        <f>IF(COUNTA(学生档案!$C$3:$C$52)=0,"",C5/COUNTA(学生档案!$C$3:$C$52))</f>
        <v/>
      </c>
      <c r="E5" s="28" t="inlineStr">
        <is>
          <t>分组：每组放一个完全没有的</t>
        </is>
      </c>
      <c r="F5" s="28" t="inlineStr">
        <is>
          <t>E</t>
        </is>
      </c>
    </row>
    <row r="6">
      <c r="A6" s="28" t="n"/>
      <c r="B6" s="28" t="inlineStr">
        <is>
          <t>自己学过一点</t>
        </is>
      </c>
      <c r="C6" s="28">
        <f>COUNTIF(学生档案!$E$3:$E$52,B6)</f>
        <v/>
      </c>
      <c r="D6" s="29">
        <f>IF(COUNTA(学生档案!$C$3:$C$52)=0,"",C6/COUNTA(学生档案!$C$3:$C$52))</f>
        <v/>
      </c>
      <c r="E6" s="28" t="inlineStr">
        <is>
          <t>分组：每组放一个完全没有的</t>
        </is>
      </c>
      <c r="F6" s="28" t="inlineStr">
        <is>
          <t>E</t>
        </is>
      </c>
    </row>
    <row r="7">
      <c r="A7" s="28" t="inlineStr">
        <is>
          <t>2 数学怎么样</t>
        </is>
      </c>
      <c r="B7" s="28" t="inlineStr">
        <is>
          <t>还不错</t>
        </is>
      </c>
      <c r="C7" s="28">
        <f>COUNTIF(学生档案!$F$3:$F$52,B7)</f>
        <v/>
      </c>
      <c r="D7" s="29">
        <f>IF(COUNTA(学生档案!$C$3:$C$52)=0,"",C7/COUNTA(学生档案!$C$3:$C$52))</f>
        <v/>
      </c>
      <c r="E7" s="28" t="inlineStr">
        <is>
          <t>分组：每组放一个还不错的</t>
        </is>
      </c>
      <c r="F7" s="28" t="inlineStr">
        <is>
          <t>F</t>
        </is>
      </c>
    </row>
    <row r="8">
      <c r="A8" s="28" t="n"/>
      <c r="B8" s="28" t="inlineStr">
        <is>
          <t>一般</t>
        </is>
      </c>
      <c r="C8" s="28">
        <f>COUNTIF(学生档案!$F$3:$F$52,B8)</f>
        <v/>
      </c>
      <c r="D8" s="29">
        <f>IF(COUNTA(学生档案!$C$3:$C$52)=0,"",C8/COUNTA(学生档案!$C$3:$C$52))</f>
        <v/>
      </c>
      <c r="E8" s="28" t="inlineStr">
        <is>
          <t>分组：每组放一个还不错的</t>
        </is>
      </c>
      <c r="F8" s="28" t="inlineStr">
        <is>
          <t>F</t>
        </is>
      </c>
    </row>
    <row r="9">
      <c r="A9" s="28" t="n"/>
      <c r="B9" s="28" t="inlineStr">
        <is>
          <t>比较吃力</t>
        </is>
      </c>
      <c r="C9" s="28">
        <f>COUNTIF(学生档案!$F$3:$F$52,B9)</f>
        <v/>
      </c>
      <c r="D9" s="29">
        <f>IF(COUNTA(学生档案!$C$3:$C$52)=0,"",C9/COUNTA(学生档案!$C$3:$C$52))</f>
        <v/>
      </c>
      <c r="E9" s="28" t="inlineStr">
        <is>
          <t>分组：每组放一个还不错的</t>
        </is>
      </c>
      <c r="F9" s="28" t="inlineStr">
        <is>
          <t>F</t>
        </is>
      </c>
    </row>
    <row r="10">
      <c r="A10" s="28" t="n"/>
      <c r="B10" s="28" t="inlineStr">
        <is>
          <t>看到数字就头大</t>
        </is>
      </c>
      <c r="C10" s="28">
        <f>COUNTIF(学生档案!$F$3:$F$52,B10)</f>
        <v/>
      </c>
      <c r="D10" s="29">
        <f>IF(COUNTA(学生档案!$C$3:$C$52)=0,"",C10/COUNTA(学生档案!$C$3:$C$52))</f>
        <v/>
      </c>
      <c r="E10" s="28" t="inlineStr">
        <is>
          <t>分组：每组放一个还不错的</t>
        </is>
      </c>
      <c r="F10" s="28" t="inlineStr">
        <is>
          <t>F</t>
        </is>
      </c>
    </row>
    <row r="11">
      <c r="A11" s="28" t="inlineStr">
        <is>
          <t>3 希望怎么上课</t>
        </is>
      </c>
      <c r="B11" s="28" t="inlineStr">
        <is>
          <t>多做游戏比赛</t>
        </is>
      </c>
      <c r="C11" s="28">
        <f>COUNTIF(学生档案!$G$3:$G$52,"*"&amp;B11&amp;"*")</f>
        <v/>
      </c>
      <c r="D11" s="29">
        <f>IF(COUNTA(学生档案!$C$3:$C$52)=0,"",C11/COUNTA(学生档案!$C$3:$C$52))</f>
        <v/>
      </c>
      <c r="E11" s="28" t="inlineStr">
        <is>
          <t>游戏超70% → 网页工具给足时间</t>
        </is>
      </c>
      <c r="F11" s="28" t="inlineStr">
        <is>
          <t>G</t>
        </is>
      </c>
    </row>
    <row r="12">
      <c r="A12" s="28" t="n"/>
      <c r="B12" s="28" t="inlineStr">
        <is>
          <t>多讲实际案例</t>
        </is>
      </c>
      <c r="C12" s="28">
        <f>COUNTIF(学生档案!$G$3:$G$52,"*"&amp;B12&amp;"*")</f>
        <v/>
      </c>
      <c r="D12" s="29">
        <f>IF(COUNTA(学生档案!$C$3:$C$52)=0,"",C12/COUNTA(学生档案!$C$3:$C$52))</f>
        <v/>
      </c>
      <c r="E12" s="28" t="inlineStr">
        <is>
          <t>游戏超70% → 网页工具给足时间</t>
        </is>
      </c>
      <c r="F12" s="28" t="inlineStr">
        <is>
          <t>G</t>
        </is>
      </c>
    </row>
    <row r="13">
      <c r="A13" s="28" t="n"/>
      <c r="B13" s="28" t="inlineStr">
        <is>
          <t>多动手实训</t>
        </is>
      </c>
      <c r="C13" s="28">
        <f>COUNTIF(学生档案!$G$3:$G$52,"*"&amp;B13&amp;"*")</f>
        <v/>
      </c>
      <c r="D13" s="29">
        <f>IF(COUNTA(学生档案!$C$3:$C$52)=0,"",C13/COUNTA(学生档案!$C$3:$C$52))</f>
        <v/>
      </c>
      <c r="E13" s="28" t="inlineStr">
        <is>
          <t>游戏超70% → 网页工具给足时间</t>
        </is>
      </c>
      <c r="F13" s="28" t="inlineStr">
        <is>
          <t>G</t>
        </is>
      </c>
    </row>
    <row r="14">
      <c r="A14" s="28" t="n"/>
      <c r="B14" s="28" t="inlineStr">
        <is>
          <t>讲慢一点细一点</t>
        </is>
      </c>
      <c r="C14" s="28">
        <f>COUNTIF(学生档案!$G$3:$G$52,"*"&amp;B14&amp;"*")</f>
        <v/>
      </c>
      <c r="D14" s="29">
        <f>IF(COUNTA(学生档案!$C$3:$C$52)=0,"",C14/COUNTA(学生档案!$C$3:$C$52))</f>
        <v/>
      </c>
      <c r="E14" s="28" t="inlineStr">
        <is>
          <t>游戏超70% → 网页工具给足时间</t>
        </is>
      </c>
      <c r="F14" s="28" t="inlineStr">
        <is>
          <t>G</t>
        </is>
      </c>
    </row>
    <row r="15">
      <c r="A15" s="28" t="n"/>
      <c r="B15" s="28" t="inlineStr">
        <is>
          <t>多用视频动画</t>
        </is>
      </c>
      <c r="C15" s="28">
        <f>COUNTIF(学生档案!$G$3:$G$52,"*"&amp;B15&amp;"*")</f>
        <v/>
      </c>
      <c r="D15" s="29">
        <f>IF(COUNTA(学生档案!$C$3:$C$52)=0,"",C15/COUNTA(学生档案!$C$3:$C$52))</f>
        <v/>
      </c>
      <c r="E15" s="28" t="inlineStr">
        <is>
          <t>游戏超70% → 网页工具给足时间</t>
        </is>
      </c>
      <c r="F15" s="28" t="inlineStr">
        <is>
          <t>G</t>
        </is>
      </c>
    </row>
    <row r="16">
      <c r="A16" s="28" t="n"/>
      <c r="B16" s="28" t="inlineStr">
        <is>
          <t>多小组讨论</t>
        </is>
      </c>
      <c r="C16" s="28">
        <f>COUNTIF(学生档案!$G$3:$G$52,"*"&amp;B16&amp;"*")</f>
        <v/>
      </c>
      <c r="D16" s="29">
        <f>IF(COUNTA(学生档案!$C$3:$C$52)=0,"",C16/COUNTA(学生档案!$C$3:$C$52))</f>
        <v/>
      </c>
      <c r="E16" s="28" t="inlineStr">
        <is>
          <t>游戏超70% → 网页工具给足时间</t>
        </is>
      </c>
      <c r="F16" s="28" t="inlineStr">
        <is>
          <t>G</t>
        </is>
      </c>
    </row>
    <row r="17">
      <c r="A17" s="28" t="inlineStr">
        <is>
          <t>5 上课最想看到哪个动画</t>
        </is>
      </c>
      <c r="B17" s="28" t="inlineStr">
        <is>
          <t>蜡笔小新</t>
        </is>
      </c>
      <c r="C17" s="28">
        <f>COUNTIF(学生档案!$I$3:$I$52,B17)</f>
        <v/>
      </c>
      <c r="D17" s="29">
        <f>IF(COUNTA(学生档案!$C$3:$C$52)=0,"",C17/COUNTA(学生档案!$C$3:$C$52))</f>
        <v/>
      </c>
      <c r="E17" s="28" t="inlineStr">
        <is>
          <t>最高票 = 班底动画</t>
        </is>
      </c>
      <c r="F17" s="28" t="inlineStr">
        <is>
          <t>I</t>
        </is>
      </c>
    </row>
    <row r="18">
      <c r="A18" s="28" t="n"/>
      <c r="B18" s="28" t="inlineStr">
        <is>
          <t>哆啦A梦</t>
        </is>
      </c>
      <c r="C18" s="28">
        <f>COUNTIF(学生档案!$I$3:$I$52,B18)</f>
        <v/>
      </c>
      <c r="D18" s="29">
        <f>IF(COUNTA(学生档案!$C$3:$C$52)=0,"",C18/COUNTA(学生档案!$C$3:$C$52))</f>
        <v/>
      </c>
      <c r="E18" s="28" t="inlineStr">
        <is>
          <t>最高票 = 班底动画</t>
        </is>
      </c>
      <c r="F18" s="28" t="inlineStr">
        <is>
          <t>I</t>
        </is>
      </c>
    </row>
    <row r="19">
      <c r="A19" s="28" t="n"/>
      <c r="B19" s="28" t="inlineStr">
        <is>
          <t>喜羊羊与灰太狼</t>
        </is>
      </c>
      <c r="C19" s="28">
        <f>COUNTIF(学生档案!$I$3:$I$52,B19)</f>
        <v/>
      </c>
      <c r="D19" s="29">
        <f>IF(COUNTA(学生档案!$C$3:$C$52)=0,"",C19/COUNTA(学生档案!$C$3:$C$52))</f>
        <v/>
      </c>
      <c r="E19" s="28" t="inlineStr">
        <is>
          <t>最高票 = 班底动画</t>
        </is>
      </c>
      <c r="F19" s="28" t="inlineStr">
        <is>
          <t>I</t>
        </is>
      </c>
    </row>
    <row r="20">
      <c r="A20" s="28" t="inlineStr">
        <is>
          <t>16 想不想和喜欢的卡通同框</t>
        </is>
      </c>
      <c r="B20" s="28" t="inlineStr">
        <is>
          <t>想，和我喜欢的角色同框</t>
        </is>
      </c>
      <c r="C20" s="28">
        <f>COUNTIF(学生档案!$T$3:$T$52,B20)</f>
        <v/>
      </c>
      <c r="D20" s="29">
        <f>IF(COUNTA(学生档案!$C$3:$C$52)=0,"",C20/COUNTA(学生档案!$C$3:$C$52))</f>
        <v/>
      </c>
      <c r="E20" s="28" t="inlineStr">
        <is>
          <t>出镜先找前两档</t>
        </is>
      </c>
      <c r="F20" s="28" t="inlineStr">
        <is>
          <t>T</t>
        </is>
      </c>
    </row>
    <row r="21">
      <c r="A21" s="28" t="n"/>
      <c r="B21" s="28" t="inlineStr">
        <is>
          <t>可以试试</t>
        </is>
      </c>
      <c r="C21" s="28">
        <f>COUNTIF(学生档案!$T$3:$T$52,B21)</f>
        <v/>
      </c>
      <c r="D21" s="29">
        <f>IF(COUNTA(学生档案!$C$3:$C$52)=0,"",C21/COUNTA(学生档案!$C$3:$C$52))</f>
        <v/>
      </c>
      <c r="E21" s="28" t="inlineStr">
        <is>
          <t>出镜先找前两档</t>
        </is>
      </c>
      <c r="F21" s="28" t="inlineStr">
        <is>
          <t>T</t>
        </is>
      </c>
    </row>
    <row r="22">
      <c r="A22" s="28" t="n"/>
      <c r="B22" s="28" t="inlineStr">
        <is>
          <t>先看别人的，先别画我</t>
        </is>
      </c>
      <c r="C22" s="28">
        <f>COUNTIF(学生档案!$T$3:$T$52,B22)</f>
        <v/>
      </c>
      <c r="D22" s="29">
        <f>IF(COUNTA(学生档案!$C$3:$C$52)=0,"",C22/COUNTA(学生档案!$C$3:$C$52))</f>
        <v/>
      </c>
      <c r="E22" s="28" t="inlineStr">
        <is>
          <t>出镜先找前两档</t>
        </is>
      </c>
      <c r="F22" s="28" t="inlineStr">
        <is>
          <t>T</t>
        </is>
      </c>
    </row>
    <row r="23">
      <c r="A23" s="28" t="n"/>
      <c r="B23" s="28" t="inlineStr">
        <is>
          <t>这次先不参加</t>
        </is>
      </c>
      <c r="C23" s="28">
        <f>COUNTIF(学生档案!$T$3:$T$52,B23)</f>
        <v/>
      </c>
      <c r="D23" s="29">
        <f>IF(COUNTA(学生档案!$C$3:$C$52)=0,"",C23/COUNTA(学生档案!$C$3:$C$52))</f>
        <v/>
      </c>
      <c r="E23" s="28" t="inlineStr">
        <is>
          <t>出镜先找前两档</t>
        </is>
      </c>
      <c r="F23" s="28" t="inlineStr">
        <is>
          <t>T</t>
        </is>
      </c>
    </row>
    <row r="24">
      <c r="A24" s="28" t="inlineStr">
        <is>
          <t>18 照片画卡通</t>
        </is>
      </c>
      <c r="B24" s="28" t="inlineStr">
        <is>
          <t>随便用</t>
        </is>
      </c>
      <c r="C24" s="28">
        <f>COUNTIF(学生档案!$V$3:$V$52,B24)</f>
        <v/>
      </c>
      <c r="D24" s="29">
        <f>IF(COUNTA(学生档案!$C$3:$C$52)=0,"",C24/COUNTA(学生档案!$C$3:$C$52))</f>
        <v/>
      </c>
      <c r="E24" s="28" t="inlineStr">
        <is>
          <t>不要用 = 红线</t>
        </is>
      </c>
      <c r="F24" s="28" t="inlineStr">
        <is>
          <t>V</t>
        </is>
      </c>
    </row>
    <row r="25">
      <c r="A25" s="28" t="n"/>
      <c r="B25" s="28" t="inlineStr">
        <is>
          <t>可以但别画太丑</t>
        </is>
      </c>
      <c r="C25" s="28">
        <f>COUNTIF(学生档案!$V$3:$V$52,B25)</f>
        <v/>
      </c>
      <c r="D25" s="29">
        <f>IF(COUNTA(学生档案!$C$3:$C$52)=0,"",C25/COUNTA(学生档案!$C$3:$C$52))</f>
        <v/>
      </c>
      <c r="E25" s="28" t="inlineStr">
        <is>
          <t>不要用 = 红线</t>
        </is>
      </c>
      <c r="F25" s="28" t="inlineStr">
        <is>
          <t>V</t>
        </is>
      </c>
    </row>
    <row r="26">
      <c r="A26" s="28" t="n"/>
      <c r="B26" s="28" t="inlineStr">
        <is>
          <t>只给我自己看</t>
        </is>
      </c>
      <c r="C26" s="28">
        <f>COUNTIF(学生档案!$V$3:$V$52,B26)</f>
        <v/>
      </c>
      <c r="D26" s="29">
        <f>IF(COUNTA(学生档案!$C$3:$C$52)=0,"",C26/COUNTA(学生档案!$C$3:$C$52))</f>
        <v/>
      </c>
      <c r="E26" s="28" t="inlineStr">
        <is>
          <t>不要用 = 红线</t>
        </is>
      </c>
      <c r="F26" s="28" t="inlineStr">
        <is>
          <t>V</t>
        </is>
      </c>
    </row>
    <row r="27">
      <c r="A27" s="30" t="n"/>
      <c r="B27" s="30" t="inlineStr">
        <is>
          <t>不要用我的照片</t>
        </is>
      </c>
      <c r="C27" s="30">
        <f>COUNTIF(学生档案!$V$3:$V$52,B27)</f>
        <v/>
      </c>
      <c r="D27" s="31">
        <f>IF(COUNTA(学生档案!$C$3:$C$52)=0,"",C27/COUNTA(学生档案!$C$3:$C$52))</f>
        <v/>
      </c>
      <c r="E27" s="30" t="inlineStr">
        <is>
          <t>不要用 = 红线</t>
        </is>
      </c>
      <c r="F27" s="30" t="inlineStr">
        <is>
          <t>V</t>
        </is>
      </c>
    </row>
    <row r="28">
      <c r="A28" s="28" t="inlineStr">
        <is>
          <t>19 奖励</t>
        </is>
      </c>
      <c r="B28" s="28" t="inlineStr">
        <is>
          <t>画进上课漫画</t>
        </is>
      </c>
      <c r="C28" s="28">
        <f>COUNTIF(学生档案!$W$3:$W$52,"*"&amp;B28&amp;"*")</f>
        <v/>
      </c>
      <c r="D28" s="29">
        <f>IF(COUNTA(学生档案!$C$3:$C$52)=0,"",C28/COUNTA(学生档案!$C$3:$C$52))</f>
        <v/>
      </c>
      <c r="E28" s="28" t="inlineStr">
        <is>
          <t>前3名抄进90-C5</t>
        </is>
      </c>
      <c r="F28" s="28" t="inlineStr">
        <is>
          <t>W</t>
        </is>
      </c>
    </row>
    <row r="29">
      <c r="A29" s="28" t="n"/>
      <c r="B29" s="28" t="inlineStr">
        <is>
          <t>卡通形象升级</t>
        </is>
      </c>
      <c r="C29" s="28">
        <f>COUNTIF(学生档案!$W$3:$W$52,"*"&amp;B29&amp;"*")</f>
        <v/>
      </c>
      <c r="D29" s="29">
        <f>IF(COUNTA(学生档案!$C$3:$C$52)=0,"",C29/COUNTA(学生档案!$C$3:$C$52))</f>
        <v/>
      </c>
      <c r="E29" s="28" t="inlineStr">
        <is>
          <t>前3名抄进90-C5</t>
        </is>
      </c>
      <c r="F29" s="28" t="inlineStr">
        <is>
          <t>W</t>
        </is>
      </c>
    </row>
    <row r="30">
      <c r="A30" s="28" t="n"/>
      <c r="B30" s="28" t="inlineStr">
        <is>
          <t>加平时分</t>
        </is>
      </c>
      <c r="C30" s="28">
        <f>COUNTIF(学生档案!$W$3:$W$52,"*"&amp;B30&amp;"*")</f>
        <v/>
      </c>
      <c r="D30" s="29">
        <f>IF(COUNTA(学生档案!$C$3:$C$52)=0,"",C30/COUNTA(学生档案!$C$3:$C$52))</f>
        <v/>
      </c>
      <c r="E30" s="28" t="inlineStr">
        <is>
          <t>前3名抄进90-C5</t>
        </is>
      </c>
      <c r="F30" s="28" t="inlineStr">
        <is>
          <t>W</t>
        </is>
      </c>
    </row>
    <row r="31">
      <c r="A31" s="28" t="n"/>
      <c r="B31" s="28" t="inlineStr">
        <is>
          <t>免一次作业</t>
        </is>
      </c>
      <c r="C31" s="28">
        <f>COUNTIF(学生档案!$W$3:$W$52,"*"&amp;B31&amp;"*")</f>
        <v/>
      </c>
      <c r="D31" s="29">
        <f>IF(COUNTA(学生档案!$C$3:$C$52)=0,"",C31/COUNTA(学生档案!$C$3:$C$52))</f>
        <v/>
      </c>
      <c r="E31" s="28" t="inlineStr">
        <is>
          <t>前3名抄进90-C5</t>
        </is>
      </c>
      <c r="F31" s="28" t="inlineStr">
        <is>
          <t>W</t>
        </is>
      </c>
    </row>
    <row r="32">
      <c r="A32" s="28" t="n"/>
      <c r="B32" s="28" t="inlineStr">
        <is>
          <t>全班表扬</t>
        </is>
      </c>
      <c r="C32" s="28">
        <f>COUNTIF(学生档案!$W$3:$W$52,"*"&amp;B32&amp;"*")</f>
        <v/>
      </c>
      <c r="D32" s="29">
        <f>IF(COUNTA(学生档案!$C$3:$C$52)=0,"",C32/COUNTA(学生档案!$C$3:$C$52))</f>
        <v/>
      </c>
      <c r="E32" s="28" t="inlineStr">
        <is>
          <t>前3名抄进90-C5</t>
        </is>
      </c>
      <c r="F32" s="28" t="inlineStr">
        <is>
          <t>W</t>
        </is>
      </c>
    </row>
    <row r="33">
      <c r="A33" s="28" t="n"/>
      <c r="B33" s="28" t="inlineStr">
        <is>
          <t>小零食</t>
        </is>
      </c>
      <c r="C33" s="28">
        <f>COUNTIF(学生档案!$W$3:$W$52,"*"&amp;B33&amp;"*")</f>
        <v/>
      </c>
      <c r="D33" s="29">
        <f>IF(COUNTA(学生档案!$C$3:$C$52)=0,"",C33/COUNTA(学生档案!$C$3:$C$52))</f>
        <v/>
      </c>
      <c r="E33" s="28" t="inlineStr">
        <is>
          <t>前3名抄进90-C5</t>
        </is>
      </c>
      <c r="F33" s="28" t="inlineStr">
        <is>
          <t>W</t>
        </is>
      </c>
    </row>
    <row r="34">
      <c r="A34" s="28" t="inlineStr">
        <is>
          <t>20 惩罚</t>
        </is>
      </c>
      <c r="B34" s="28" t="inlineStr">
        <is>
          <t>做成搞笑表情包</t>
        </is>
      </c>
      <c r="C34" s="28">
        <f>COUNTIF(学生档案!$X$3:$X$52,"*"&amp;B34&amp;"*")</f>
        <v/>
      </c>
      <c r="D34" s="29">
        <f>IF(COUNTA(学生档案!$C$3:$C$52)=0,"",C34/COUNTA(学生档案!$C$3:$C$52))</f>
        <v/>
      </c>
      <c r="E34" s="28" t="inlineStr">
        <is>
          <t>前3名抄进90-C5</t>
        </is>
      </c>
      <c r="F34" s="28" t="inlineStr">
        <is>
          <t>X</t>
        </is>
      </c>
    </row>
    <row r="35">
      <c r="A35" s="28" t="n"/>
      <c r="B35" s="28" t="inlineStr">
        <is>
          <t>上台讲一道题</t>
        </is>
      </c>
      <c r="C35" s="28">
        <f>COUNTIF(学生档案!$X$3:$X$52,"*"&amp;B35&amp;"*")</f>
        <v/>
      </c>
      <c r="D35" s="29">
        <f>IF(COUNTA(学生档案!$C$3:$C$52)=0,"",C35/COUNTA(学生档案!$C$3:$C$52))</f>
        <v/>
      </c>
      <c r="E35" s="28" t="inlineStr">
        <is>
          <t>前3名抄进90-C5</t>
        </is>
      </c>
      <c r="F35" s="28" t="inlineStr">
        <is>
          <t>X</t>
        </is>
      </c>
    </row>
    <row r="36">
      <c r="A36" s="28" t="n"/>
      <c r="B36" s="28" t="inlineStr">
        <is>
          <t>帮同学讲懂一道题</t>
        </is>
      </c>
      <c r="C36" s="28">
        <f>COUNTIF(学生档案!$X$3:$X$52,"*"&amp;B36&amp;"*")</f>
        <v/>
      </c>
      <c r="D36" s="29">
        <f>IF(COUNTA(学生档案!$C$3:$C$52)=0,"",C36/COUNTA(学生档案!$C$3:$C$52))</f>
        <v/>
      </c>
      <c r="E36" s="28" t="inlineStr">
        <is>
          <t>前3名抄进90-C5</t>
        </is>
      </c>
      <c r="F36" s="28" t="inlineStr">
        <is>
          <t>X</t>
        </is>
      </c>
    </row>
    <row r="37">
      <c r="A37" s="28" t="n"/>
      <c r="B37" s="28" t="inlineStr">
        <is>
          <t>表演才艺30秒</t>
        </is>
      </c>
      <c r="C37" s="28">
        <f>COUNTIF(学生档案!$X$3:$X$52,"*"&amp;B37&amp;"*")</f>
        <v/>
      </c>
      <c r="D37" s="29">
        <f>IF(COUNTA(学生档案!$C$3:$C$52)=0,"",C37/COUNTA(学生档案!$C$3:$C$52))</f>
        <v/>
      </c>
      <c r="E37" s="28" t="inlineStr">
        <is>
          <t>前3名抄进90-C5</t>
        </is>
      </c>
      <c r="F37" s="28" t="inlineStr">
        <is>
          <t>X</t>
        </is>
      </c>
    </row>
    <row r="38">
      <c r="A38" s="28" t="n"/>
      <c r="B38" s="28" t="inlineStr">
        <is>
          <t>罚做一道题</t>
        </is>
      </c>
      <c r="C38" s="28">
        <f>COUNTIF(学生档案!$X$3:$X$52,"*"&amp;B38&amp;"*")</f>
        <v/>
      </c>
      <c r="D38" s="29">
        <f>IF(COUNTA(学生档案!$C$3:$C$52)=0,"",C38/COUNTA(学生档案!$C$3:$C$52))</f>
        <v/>
      </c>
      <c r="E38" s="28" t="inlineStr">
        <is>
          <t>前3名抄进90-C5</t>
        </is>
      </c>
      <c r="F38" s="28" t="inlineStr">
        <is>
          <t>X</t>
        </is>
      </c>
    </row>
    <row r="40">
      <c r="A40" s="32" t="inlineStr">
        <is>
          <t>已填人数</t>
        </is>
      </c>
      <c r="B40" s="32" t="n"/>
      <c r="C40" s="32">
        <f>COUNTA(学生档案!$C$3:$C$52)</f>
        <v/>
      </c>
      <c r="D40" s="32" t="n"/>
      <c r="E40" s="32" t="n"/>
    </row>
    <row r="41">
      <c r="A41" s="32" t="inlineStr">
        <is>
          <t>第18题红线人数</t>
        </is>
      </c>
      <c r="B41" s="32" t="n"/>
      <c r="C41" s="32">
        <f>COUNTIF(学生档案!$V$3:$V$52,"不要用我的照片")</f>
        <v/>
      </c>
      <c r="D41" s="32" t="n"/>
      <c r="E41" s="32" t="n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695C"/>
    <outlinePr summaryBelow="1" summaryRight="1"/>
    <pageSetUpPr/>
  </sheetPr>
  <dimension ref="A1:H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22" customWidth="1" min="2" max="2"/>
    <col width="10" customWidth="1" min="3" max="3"/>
    <col width="28" customWidth="1" min="4" max="4"/>
    <col width="40" customWidth="1" min="5" max="5"/>
    <col width="10" customWidth="1" min="6" max="6"/>
    <col width="52" customWidth="1" min="7" max="7"/>
    <col width="52" customWidth="1" min="8" max="8"/>
  </cols>
  <sheetData>
    <row r="1" ht="52" customHeight="1">
      <c r="A1" s="4" t="inlineStr">
        <is>
          <t>学校都有企业微信就用企业微信。飞书可以不用。「是否建」=否 的不要建题。字段标题一字不差。说明粘到该题备注里，学生才看得懂。</t>
        </is>
      </c>
    </row>
    <row r="2" ht="36" customHeight="1">
      <c r="A2" s="19" t="inlineStr">
        <is>
          <t>序号</t>
        </is>
      </c>
      <c r="B2" s="19" t="inlineStr">
        <is>
          <t>是否在企业微信建</t>
        </is>
      </c>
      <c r="C2" s="19" t="inlineStr">
        <is>
          <t>题型</t>
        </is>
      </c>
      <c r="D2" s="19" t="inlineStr">
        <is>
          <t>字段标题（一字不差）</t>
        </is>
      </c>
      <c r="E2" s="19" t="inlineStr">
        <is>
          <t>选项（按／拆开粘）</t>
        </is>
      </c>
      <c r="F2" s="19" t="inlineStr">
        <is>
          <t>必填</t>
        </is>
      </c>
      <c r="G2" s="19" t="inlineStr">
        <is>
          <t>发给学生看的说明（粘到题目备注）</t>
        </is>
      </c>
      <c r="H2" s="19" t="inlineStr">
        <is>
          <t>老师自己看（不要贴进收集表）</t>
        </is>
      </c>
    </row>
    <row r="3" ht="44" customHeight="1">
      <c r="A3" s="33" t="n">
        <v>1</v>
      </c>
      <c r="B3" s="33" t="inlineStr">
        <is>
          <t>否（企业微信已有/纸质才要）</t>
        </is>
      </c>
      <c r="C3" s="33" t="inlineStr">
        <is>
          <t>简答</t>
        </is>
      </c>
      <c r="D3" s="33" t="inlineStr">
        <is>
          <t>班级</t>
        </is>
      </c>
      <c r="E3" s="33" t="inlineStr">
        <is>
          <t>（自由写）</t>
        </is>
      </c>
      <c r="F3" s="33" t="inlineStr">
        <is>
          <t>选填</t>
        </is>
      </c>
      <c r="G3" s="33" t="inlineStr"/>
      <c r="H3" s="33" t="inlineStr">
        <is>
          <t>企业微信不建。一个班一张表，导出后你在档案表 A 列往下填班级名。</t>
        </is>
      </c>
    </row>
    <row r="4" ht="44" customHeight="1">
      <c r="A4" s="34" t="n">
        <v>2</v>
      </c>
      <c r="B4" s="34" t="inlineStr">
        <is>
          <t>是</t>
        </is>
      </c>
      <c r="C4" s="34" t="inlineStr">
        <is>
          <t>简答</t>
        </is>
      </c>
      <c r="D4" s="34" t="inlineStr">
        <is>
          <t>学号</t>
        </is>
      </c>
      <c r="E4" s="34" t="inlineStr">
        <is>
          <t>（自由写）</t>
        </is>
      </c>
      <c r="F4" s="34" t="inlineStr">
        <is>
          <t>必填</t>
        </is>
      </c>
      <c r="G4" s="34" t="inlineStr">
        <is>
          <t>填你的学号，一定要填对。</t>
        </is>
      </c>
      <c r="H4" s="36" t="inlineStr">
        <is>
          <t>企业微信没有学号，必须建。后面文件名、积分、紫色列全靠这一列对上人。</t>
        </is>
      </c>
    </row>
    <row r="5" ht="44" customHeight="1">
      <c r="A5" s="33" t="n">
        <v>3</v>
      </c>
      <c r="B5" s="33" t="inlineStr">
        <is>
          <t>否（企业微信已有/纸质才要）</t>
        </is>
      </c>
      <c r="C5" s="33" t="inlineStr">
        <is>
          <t>简答</t>
        </is>
      </c>
      <c r="D5" s="33" t="inlineStr">
        <is>
          <t>姓名</t>
        </is>
      </c>
      <c r="E5" s="33" t="inlineStr">
        <is>
          <t>（自由写）</t>
        </is>
      </c>
      <c r="F5" s="33" t="inlineStr">
        <is>
          <t>选填</t>
        </is>
      </c>
      <c r="G5" s="33" t="inlineStr"/>
      <c r="H5" s="33" t="inlineStr">
        <is>
          <t>企业微信不建。导出后把「提交者」整列复制到「姓名」。</t>
        </is>
      </c>
    </row>
    <row r="6" ht="44" customHeight="1">
      <c r="A6" s="34" t="n">
        <v>4</v>
      </c>
      <c r="B6" s="34" t="inlineStr">
        <is>
          <t>是</t>
        </is>
      </c>
      <c r="C6" s="34" t="inlineStr">
        <is>
          <t>简答</t>
        </is>
      </c>
      <c r="D6" s="34" t="inlineStr">
        <is>
          <t>宿舍</t>
        </is>
      </c>
      <c r="E6" s="34" t="inlineStr">
        <is>
          <t>（自由写）</t>
        </is>
      </c>
      <c r="F6" s="34" t="inlineStr">
        <is>
          <t>选填</t>
        </is>
      </c>
      <c r="G6" s="34" t="inlineStr">
        <is>
          <t>选填。写几栋几号就行，比如 3-201。没有就空着。</t>
        </is>
      </c>
      <c r="H6" s="36" t="inlineStr">
        <is>
          <t>分组时「能同宿舍就同宿舍」，不是按宿舍整组切。不要把这句贴给学生。</t>
        </is>
      </c>
    </row>
    <row r="7" ht="44" customHeight="1">
      <c r="A7" s="34" t="n">
        <v>5</v>
      </c>
      <c r="B7" s="34" t="inlineStr">
        <is>
          <t>是</t>
        </is>
      </c>
      <c r="C7" s="35" t="inlineStr">
        <is>
          <t>单选</t>
        </is>
      </c>
      <c r="D7" s="34" t="inlineStr">
        <is>
          <t>1_以前接触过会计吗</t>
        </is>
      </c>
      <c r="E7" s="34" t="inlineStr">
        <is>
          <t>完全没有 ／ 听说过没学过 ／ 家里有人做会计 ／ 自己学过一点</t>
        </is>
      </c>
      <c r="F7" s="34" t="inlineStr">
        <is>
          <t>必填</t>
        </is>
      </c>
      <c r="G7" s="34" t="inlineStr">
        <is>
          <t>如实选。没有接触过很正常，没有对错。</t>
        </is>
      </c>
      <c r="H7" s="36" t="inlineStr">
        <is>
          <t>【别贴给学生】分组用：每组至少放一个选「完全没有」的。</t>
        </is>
      </c>
    </row>
    <row r="8" ht="44" customHeight="1">
      <c r="A8" s="34" t="n">
        <v>6</v>
      </c>
      <c r="B8" s="34" t="inlineStr">
        <is>
          <t>是</t>
        </is>
      </c>
      <c r="C8" s="35" t="inlineStr">
        <is>
          <t>单选</t>
        </is>
      </c>
      <c r="D8" s="34" t="inlineStr">
        <is>
          <t>2_自己数学怎么样</t>
        </is>
      </c>
      <c r="E8" s="34" t="inlineStr">
        <is>
          <t>还不错 ／ 一般 ／ 比较吃力 ／ 看到数字就头大</t>
        </is>
      </c>
      <c r="F8" s="34" t="inlineStr">
        <is>
          <t>必填</t>
        </is>
      </c>
      <c r="G8" s="34" t="inlineStr">
        <is>
          <t>如实选，没有对错。</t>
        </is>
      </c>
      <c r="H8" s="36" t="inlineStr">
        <is>
          <t>【别贴给学生】分组用：每组至少放一个选「还不错」的。</t>
        </is>
      </c>
    </row>
    <row r="9" ht="44" customHeight="1">
      <c r="A9" s="34" t="n">
        <v>7</v>
      </c>
      <c r="B9" s="34" t="inlineStr">
        <is>
          <t>是</t>
        </is>
      </c>
      <c r="C9" s="36" t="inlineStr">
        <is>
          <t>多选</t>
        </is>
      </c>
      <c r="D9" s="34" t="inlineStr">
        <is>
          <t>3_希望这门课怎么上</t>
        </is>
      </c>
      <c r="E9" s="34" t="inlineStr">
        <is>
          <t>多做游戏比赛 ／ 多讲实际案例 ／ 多动手实训 ／ 讲慢一点细一点 ／ 多用视频动画 ／ 多小组讨论</t>
        </is>
      </c>
      <c r="F9" s="34" t="inlineStr">
        <is>
          <t>选填</t>
        </is>
      </c>
      <c r="G9" s="34" t="inlineStr">
        <is>
          <t>可多选。你希望这门课怎么上，按真实想法勾。</t>
        </is>
      </c>
      <c r="H9" s="36" t="inlineStr">
        <is>
          <t>【别贴给学生】「多做游戏比赛」超过七成，网页工具要给足时间。</t>
        </is>
      </c>
    </row>
    <row r="10" ht="44" customHeight="1">
      <c r="A10" s="34" t="n">
        <v>8</v>
      </c>
      <c r="B10" s="34" t="inlineStr">
        <is>
          <t>是</t>
        </is>
      </c>
      <c r="C10" s="34" t="inlineStr">
        <is>
          <t>简答</t>
        </is>
      </c>
      <c r="D10" s="34" t="inlineStr">
        <is>
          <t>4_最担心这门课什么</t>
        </is>
      </c>
      <c r="E10" s="34" t="inlineStr">
        <is>
          <t>（自由写）</t>
        </is>
      </c>
      <c r="F10" s="34" t="inlineStr">
        <is>
          <t>选填</t>
        </is>
      </c>
      <c r="G10" s="34" t="inlineStr">
        <is>
          <t>随便写。比如怕算数、怕被提问、怕跟不上。没有就写「没有」。</t>
        </is>
      </c>
      <c r="H10" s="36" t="inlineStr">
        <is>
          <t>【别贴给学生】第二节课念几条匿名的。不当众点名。</t>
        </is>
      </c>
    </row>
    <row r="11" ht="44" customHeight="1">
      <c r="A11" s="34" t="n">
        <v>9</v>
      </c>
      <c r="B11" s="34" t="inlineStr">
        <is>
          <t>是</t>
        </is>
      </c>
      <c r="C11" s="35" t="inlineStr">
        <is>
          <t>单选</t>
        </is>
      </c>
      <c r="D11" s="34" t="inlineStr">
        <is>
          <t>5_上课最想看到哪个动画</t>
        </is>
      </c>
      <c r="E11" s="34" t="inlineStr">
        <is>
          <t>蜡笔小新 ／ 哆啦A梦 ／ 喜羊羊与灰太狼</t>
        </is>
      </c>
      <c r="F11" s="34" t="inlineStr">
        <is>
          <t>必填</t>
        </is>
      </c>
      <c r="G11" s="34" t="inlineStr">
        <is>
          <t>上课投影上会用动画片里的人物来举例。选一个你想看到的就行。</t>
        </is>
      </c>
      <c r="H11" s="36" t="inlineStr">
        <is>
          <t>【别贴给学生】最高票=班底动画。不要说「第7周起换」。</t>
        </is>
      </c>
    </row>
    <row r="12" ht="44" customHeight="1">
      <c r="A12" s="34" t="n">
        <v>10</v>
      </c>
      <c r="B12" s="34" t="inlineStr">
        <is>
          <t>是</t>
        </is>
      </c>
      <c r="C12" s="34" t="inlineStr">
        <is>
          <t>简答</t>
        </is>
      </c>
      <c r="D12" s="34" t="inlineStr">
        <is>
          <t>6_还喜欢哪个动画</t>
        </is>
      </c>
      <c r="E12" s="34" t="inlineStr">
        <is>
          <t>（自由写）</t>
        </is>
      </c>
      <c r="F12" s="34" t="inlineStr">
        <is>
          <t>选填</t>
        </is>
      </c>
      <c r="G12" s="34" t="inlineStr">
        <is>
          <t>没有就空着。</t>
        </is>
      </c>
      <c r="H12" s="36" t="inlineStr">
        <is>
          <t>【别贴给学生】个人出镜、合照优先用这个；空着就用第5题。</t>
        </is>
      </c>
    </row>
    <row r="13" ht="44" customHeight="1">
      <c r="A13" s="34" t="n">
        <v>11</v>
      </c>
      <c r="B13" s="34" t="inlineStr">
        <is>
          <t>是</t>
        </is>
      </c>
      <c r="C13" s="34" t="inlineStr">
        <is>
          <t>简答</t>
        </is>
      </c>
      <c r="D13" s="34" t="inlineStr">
        <is>
          <t>7_喜欢的明星或主播</t>
        </is>
      </c>
      <c r="E13" s="34" t="inlineStr">
        <is>
          <t>（自由写）</t>
        </is>
      </c>
      <c r="F13" s="34" t="inlineStr">
        <is>
          <t>选填</t>
        </is>
      </c>
      <c r="G13" s="34" t="inlineStr">
        <is>
          <t>没有就空着。</t>
        </is>
      </c>
      <c r="H13" s="36" t="inlineStr">
        <is>
          <t>【别贴给学生】项目结束合照可能会用。</t>
        </is>
      </c>
    </row>
    <row r="14" ht="44" customHeight="1">
      <c r="A14" s="34" t="n">
        <v>12</v>
      </c>
      <c r="B14" s="34" t="inlineStr">
        <is>
          <t>是</t>
        </is>
      </c>
      <c r="C14" s="34" t="inlineStr">
        <is>
          <t>简答</t>
        </is>
      </c>
      <c r="D14" s="34" t="inlineStr">
        <is>
          <t>8_外号是什么谁起的</t>
        </is>
      </c>
      <c r="E14" s="34" t="inlineStr">
        <is>
          <t>（自由写）</t>
        </is>
      </c>
      <c r="F14" s="34" t="inlineStr">
        <is>
          <t>选填</t>
        </is>
      </c>
      <c r="G14" s="34" t="inlineStr">
        <is>
          <t>没有就写「没有」。想不出来可以问旁边的人。</t>
        </is>
      </c>
      <c r="H14" s="36" t="inlineStr">
        <is>
          <t>【别贴给学生】后面画卡通时用。</t>
        </is>
      </c>
    </row>
    <row r="15" ht="44" customHeight="1">
      <c r="A15" s="34" t="n">
        <v>13</v>
      </c>
      <c r="B15" s="34" t="inlineStr">
        <is>
          <t>是</t>
        </is>
      </c>
      <c r="C15" s="34" t="inlineStr">
        <is>
          <t>简答</t>
        </is>
      </c>
      <c r="D15" s="34" t="inlineStr">
        <is>
          <t>9_口头禅</t>
        </is>
      </c>
      <c r="E15" s="34" t="inlineStr">
        <is>
          <t>（自由写）</t>
        </is>
      </c>
      <c r="F15" s="34" t="inlineStr">
        <is>
          <t>选填</t>
        </is>
      </c>
      <c r="G15" s="34" t="inlineStr">
        <is>
          <t>没有就写「没有」。</t>
        </is>
      </c>
      <c r="H15" s="36" t="inlineStr">
        <is>
          <t>【别贴给学生】画卡通时用。</t>
        </is>
      </c>
    </row>
    <row r="16" ht="44" customHeight="1">
      <c r="A16" s="34" t="n">
        <v>14</v>
      </c>
      <c r="B16" s="34" t="inlineStr">
        <is>
          <t>是</t>
        </is>
      </c>
      <c r="C16" s="34" t="inlineStr">
        <is>
          <t>简答</t>
        </is>
      </c>
      <c r="D16" s="34" t="inlineStr">
        <is>
          <t>10_小动作或小习惯</t>
        </is>
      </c>
      <c r="E16" s="34" t="inlineStr">
        <is>
          <t>（自由写）</t>
        </is>
      </c>
      <c r="F16" s="34" t="inlineStr">
        <is>
          <t>选填</t>
        </is>
      </c>
      <c r="G16" s="34" t="inlineStr">
        <is>
          <t>比如转笔、翘椅子、挠头。没有就写「没有」。</t>
        </is>
      </c>
      <c r="H16" s="36" t="inlineStr">
        <is>
          <t>【别贴给学生】画卡通时用。</t>
        </is>
      </c>
    </row>
    <row r="17" ht="44" customHeight="1">
      <c r="A17" s="34" t="n">
        <v>15</v>
      </c>
      <c r="B17" s="34" t="inlineStr">
        <is>
          <t>是</t>
        </is>
      </c>
      <c r="C17" s="34" t="inlineStr">
        <is>
          <t>简答</t>
        </is>
      </c>
      <c r="D17" s="34" t="inlineStr">
        <is>
          <t>11_最怕上课被问到什么</t>
        </is>
      </c>
      <c r="E17" s="34" t="inlineStr">
        <is>
          <t>（自由写）</t>
        </is>
      </c>
      <c r="F17" s="34" t="inlineStr">
        <is>
          <t>选填</t>
        </is>
      </c>
      <c r="G17" s="34" t="inlineStr">
        <is>
          <t>老师不会当众念出来。没有就写「没有」。</t>
        </is>
      </c>
      <c r="H17" s="36" t="inlineStr">
        <is>
          <t>【别贴给学生】避开雷区，不当众念。</t>
        </is>
      </c>
    </row>
    <row r="18" ht="44" customHeight="1">
      <c r="A18" s="34" t="n">
        <v>16</v>
      </c>
      <c r="B18" s="34" t="inlineStr">
        <is>
          <t>是</t>
        </is>
      </c>
      <c r="C18" s="34" t="inlineStr">
        <is>
          <t>简答</t>
        </is>
      </c>
      <c r="D18" s="34" t="inlineStr">
        <is>
          <t>12_平时最爱做什么</t>
        </is>
      </c>
      <c r="E18" s="34" t="inlineStr">
        <is>
          <t>（自由写）</t>
        </is>
      </c>
      <c r="F18" s="34" t="inlineStr">
        <is>
          <t>选填</t>
        </is>
      </c>
      <c r="G18" s="34" t="inlineStr">
        <is>
          <t>比如游戏、打球、追剧、吃。</t>
        </is>
      </c>
      <c r="H18" s="36" t="inlineStr">
        <is>
          <t>【别贴给学生】画卡通时用。</t>
        </is>
      </c>
    </row>
    <row r="19" ht="44" customHeight="1">
      <c r="A19" s="34" t="n">
        <v>17</v>
      </c>
      <c r="B19" s="34" t="inlineStr">
        <is>
          <t>是</t>
        </is>
      </c>
      <c r="C19" s="34" t="inlineStr">
        <is>
          <t>简答</t>
        </is>
      </c>
      <c r="D19" s="34" t="inlineStr">
        <is>
          <t>13_三个词形容自己</t>
        </is>
      </c>
      <c r="E19" s="34" t="inlineStr">
        <is>
          <t>（自由写）</t>
        </is>
      </c>
      <c r="F19" s="34" t="inlineStr">
        <is>
          <t>选填</t>
        </is>
      </c>
      <c r="G19" s="34" t="inlineStr">
        <is>
          <t>三个词就行，比如「懒、爱笑、爱睡觉」。</t>
        </is>
      </c>
      <c r="H19" s="36" t="inlineStr">
        <is>
          <t>【别贴给学生】画卡通时用。</t>
        </is>
      </c>
    </row>
    <row r="20" ht="44" customHeight="1">
      <c r="A20" s="34" t="n">
        <v>18</v>
      </c>
      <c r="B20" s="34" t="inlineStr">
        <is>
          <t>是</t>
        </is>
      </c>
      <c r="C20" s="34" t="inlineStr">
        <is>
          <t>简答</t>
        </is>
      </c>
      <c r="D20" s="34" t="inlineStr">
        <is>
          <t>14_请同桌用三个词形容你</t>
        </is>
      </c>
      <c r="E20" s="34" t="inlineStr">
        <is>
          <t>（自由写）</t>
        </is>
      </c>
      <c r="F20" s="34" t="inlineStr">
        <is>
          <t>选填</t>
        </is>
      </c>
      <c r="G20" s="34" t="inlineStr">
        <is>
          <t>现在转头问旁边的人，让他说三个词，你来打字。</t>
        </is>
      </c>
      <c r="H20" s="36" t="inlineStr">
        <is>
          <t>【别贴给学生】必须同桌说。</t>
        </is>
      </c>
    </row>
    <row r="21" ht="44" customHeight="1">
      <c r="A21" s="34" t="n">
        <v>19</v>
      </c>
      <c r="B21" s="34" t="inlineStr">
        <is>
          <t>是</t>
        </is>
      </c>
      <c r="C21" s="34" t="inlineStr">
        <is>
          <t>简答</t>
        </is>
      </c>
      <c r="D21" s="34" t="inlineStr">
        <is>
          <t>15_舍友觉得你最搞笑的事</t>
        </is>
      </c>
      <c r="E21" s="34" t="inlineStr">
        <is>
          <t>（自由写）</t>
        </is>
      </c>
      <c r="F21" s="34" t="inlineStr">
        <is>
          <t>选填</t>
        </is>
      </c>
      <c r="G21" s="34" t="inlineStr">
        <is>
          <t>选填。没有就空着。</t>
        </is>
      </c>
      <c r="H21" s="36" t="inlineStr">
        <is>
          <t>【别贴给学生】选填。</t>
        </is>
      </c>
    </row>
    <row r="22" ht="44" customHeight="1">
      <c r="A22" s="34" t="n">
        <v>20</v>
      </c>
      <c r="B22" s="34" t="inlineStr">
        <is>
          <t>是</t>
        </is>
      </c>
      <c r="C22" s="35" t="inlineStr">
        <is>
          <t>单选</t>
        </is>
      </c>
      <c r="D22" s="34" t="inlineStr">
        <is>
          <t>16_想不想和喜欢的卡通同框</t>
        </is>
      </c>
      <c r="E22" s="34" t="inlineStr">
        <is>
          <t>想，和我喜欢的角色同框 ／ 可以试试 ／ 先看别人的，先别画我 ／ 这次先不参加</t>
        </is>
      </c>
      <c r="F22" s="34" t="inlineStr">
        <is>
          <t>必填</t>
        </is>
      </c>
      <c r="G22" s="34" t="inlineStr">
        <is>
          <t>上课投影会画同学的卡通形象，有机会和你喜欢的动画片人物或明星画在同一张图里，像表情包合照那种，不是丑照。原照片不会发到班级群。不想出镜选后面两项就行，完全不扣分。</t>
        </is>
      </c>
      <c r="H22" s="36" t="inlineStr">
        <is>
          <t>【别贴给学生】出镜先找前两档。选「这次先不参加」的永远不画。不要跟学生讲风险、教学方案、出镜排期。这题要让他们觉得好玩才愿意勾。</t>
        </is>
      </c>
    </row>
    <row r="23" ht="44" customHeight="1">
      <c r="A23" s="34" t="n">
        <v>21</v>
      </c>
      <c r="B23" s="34" t="inlineStr">
        <is>
          <t>是</t>
        </is>
      </c>
      <c r="C23" s="34" t="inlineStr">
        <is>
          <t>简答</t>
        </is>
      </c>
      <c r="D23" s="34" t="inlineStr">
        <is>
          <t>17_如果被画进去最想搞懂哪件事</t>
        </is>
      </c>
      <c r="E23" s="34" t="inlineStr">
        <is>
          <t>（自由写）</t>
        </is>
      </c>
      <c r="F23" s="34" t="inlineStr">
        <is>
          <t>选填</t>
        </is>
      </c>
      <c r="G23" s="34" t="inlineStr">
        <is>
          <t>选填。没有就空着。</t>
        </is>
      </c>
      <c r="H23" s="36" t="inlineStr">
        <is>
          <t>【别贴给学生】给漫画一个由头。空着也没关系。</t>
        </is>
      </c>
    </row>
    <row r="24" ht="44" customHeight="1">
      <c r="A24" s="34" t="n">
        <v>22</v>
      </c>
      <c r="B24" s="34" t="inlineStr">
        <is>
          <t>是</t>
        </is>
      </c>
      <c r="C24" s="35" t="inlineStr">
        <is>
          <t>单选</t>
        </is>
      </c>
      <c r="D24" s="34" t="inlineStr">
        <is>
          <t>18_能用你的照片画卡通吗</t>
        </is>
      </c>
      <c r="E24" s="34" t="inlineStr">
        <is>
          <t>随便用 ／ 可以但别画太丑 ／ 只给我自己看 ／ 不要用我的照片</t>
        </is>
      </c>
      <c r="F24" s="34" t="inlineStr">
        <is>
          <t>必填</t>
        </is>
      </c>
      <c r="G24" s="34" t="inlineStr">
        <is>
          <t>如果画到你，只用照片当样子来画，原照片不会发到班级群。不想用照片就选最后一项，完全没问题，也不扣分。</t>
        </is>
      </c>
      <c r="H24" s="36" t="inlineStr">
        <is>
          <t>【别贴给学生】这题决定 T_红线_形象。不要跟学生讲代号、教学方案。</t>
        </is>
      </c>
    </row>
    <row r="25" ht="44" customHeight="1">
      <c r="A25" s="34" t="n">
        <v>23</v>
      </c>
      <c r="B25" s="34" t="inlineStr">
        <is>
          <t>是</t>
        </is>
      </c>
      <c r="C25" s="36" t="inlineStr">
        <is>
          <t>多选</t>
        </is>
      </c>
      <c r="D25" s="34" t="inlineStr">
        <is>
          <t>19_什么奖励对你有用</t>
        </is>
      </c>
      <c r="E25" s="34" t="inlineStr">
        <is>
          <t>画进上课漫画 ／ 卡通形象升级 ／ 加平时分 ／ 免一次作业 ／ 全班表扬 ／ 小零食</t>
        </is>
      </c>
      <c r="F25" s="34" t="inlineStr">
        <is>
          <t>必填</t>
        </is>
      </c>
      <c r="G25" s="34" t="inlineStr">
        <is>
          <t>可多选。勾得最多的几项，会写进这门课贴在墙上的规矩。</t>
        </is>
      </c>
      <c r="H25" s="36" t="inlineStr">
        <is>
          <t>【别贴给学生】前3名抄进 90-C5。</t>
        </is>
      </c>
    </row>
    <row r="26" ht="44" customHeight="1">
      <c r="A26" s="34" t="n">
        <v>24</v>
      </c>
      <c r="B26" s="34" t="inlineStr">
        <is>
          <t>是</t>
        </is>
      </c>
      <c r="C26" s="36" t="inlineStr">
        <is>
          <t>多选</t>
        </is>
      </c>
      <c r="D26" s="34" t="inlineStr">
        <is>
          <t>20_哪种惩罚你能接受还觉得好玩</t>
        </is>
      </c>
      <c r="E26" s="34" t="inlineStr">
        <is>
          <t>做成搞笑表情包 ／ 上台讲一道题 ／ 帮同学讲懂一道题 ／ 表演才艺30秒 ／ 罚做一道题</t>
        </is>
      </c>
      <c r="F26" s="34" t="inlineStr">
        <is>
          <t>必填</t>
        </is>
      </c>
      <c r="G26" s="34" t="inlineStr">
        <is>
          <t>可多选。不是真罚。勾得最多的会写进规矩。真做之前会先给你本人看。</t>
        </is>
      </c>
      <c r="H26" s="36" t="inlineStr">
        <is>
          <t>【别贴给学生】前3名抄进 90-C5。</t>
        </is>
      </c>
    </row>
    <row r="27" ht="44" customHeight="1">
      <c r="A27" s="34" t="n">
        <v>25</v>
      </c>
      <c r="B27" s="34" t="inlineStr">
        <is>
          <t>是</t>
        </is>
      </c>
      <c r="C27" s="34" t="inlineStr">
        <is>
          <t>简答</t>
        </is>
      </c>
      <c r="D27" s="34" t="inlineStr">
        <is>
          <t>21_想对老师说的话</t>
        </is>
      </c>
      <c r="E27" s="34" t="inlineStr">
        <is>
          <t>（自由写）</t>
        </is>
      </c>
      <c r="F27" s="34" t="inlineStr">
        <is>
          <t>选填</t>
        </is>
      </c>
      <c r="G27" s="34" t="inlineStr">
        <is>
          <t>选填。老师私下看，不会当众念。</t>
        </is>
      </c>
      <c r="H27" s="36" t="inlineStr">
        <is>
          <t>【别贴给学生】私下看。</t>
        </is>
      </c>
    </row>
    <row r="28" ht="44" customHeight="1">
      <c r="A28" s="33" t="n">
        <v>26</v>
      </c>
      <c r="B28" s="33" t="inlineStr">
        <is>
          <t>否（企业微信已有/纸质才要）</t>
        </is>
      </c>
      <c r="C28" s="33" t="inlineStr">
        <is>
          <t>日期</t>
        </is>
      </c>
      <c r="D28" s="33" t="inlineStr">
        <is>
          <t>填表日期</t>
        </is>
      </c>
      <c r="E28" s="33" t="inlineStr">
        <is>
          <t>（自由写）</t>
        </is>
      </c>
      <c r="F28" s="33" t="inlineStr">
        <is>
          <t>选填</t>
        </is>
      </c>
      <c r="G28" s="33" t="inlineStr"/>
      <c r="H28" s="33" t="inlineStr">
        <is>
          <t>企业微信不建，有提交时间。纸质才写。</t>
        </is>
      </c>
    </row>
    <row r="29" ht="44" customHeight="1">
      <c r="A29" s="33" t="n">
        <v>27</v>
      </c>
      <c r="B29" s="33" t="inlineStr">
        <is>
          <t>否（企业微信已有/纸质才要）</t>
        </is>
      </c>
      <c r="C29" s="33" t="inlineStr">
        <is>
          <t>简答</t>
        </is>
      </c>
      <c r="D29" s="33" t="inlineStr">
        <is>
          <t>本人签名</t>
        </is>
      </c>
      <c r="E29" s="33" t="inlineStr">
        <is>
          <t>（自由写）</t>
        </is>
      </c>
      <c r="F29" s="33" t="inlineStr">
        <is>
          <t>选填</t>
        </is>
      </c>
      <c r="G29" s="33" t="inlineStr"/>
      <c r="H29" s="33" t="inlineStr">
        <is>
          <t>企业微信不建。纸质打印才手写。电子签名没有额外用处，提交者就是本人。</t>
        </is>
      </c>
    </row>
    <row r="31" ht="22" customHeight="1">
      <c r="A31" s="48" t="inlineStr">
        <is>
          <t>收集表最上面的「表单说明」整段复制（学生打开第一眼看到的）</t>
        </is>
      </c>
    </row>
    <row r="32" ht="28" customHeight="1">
      <c r="A32" s="3" t="inlineStr">
        <is>
          <t>这不是考试，没有标准答案。学号一定要填对。看不懂的题按字面选就行。</t>
        </is>
      </c>
    </row>
    <row r="33" ht="24" customHeight="1">
      <c r="A33" s="3" t="n"/>
    </row>
    <row r="34" ht="22" customHeight="1">
      <c r="A34" s="48" t="inlineStr">
        <is>
          <t>导出以后怎么贴进「学生档案」</t>
        </is>
      </c>
    </row>
    <row r="35" ht="22" customHeight="1">
      <c r="A35" s="3" t="inlineStr">
        <is>
          <t>1. 收集表右上角 → 导出 Excel。</t>
        </is>
      </c>
    </row>
    <row r="36" ht="22" customHeight="1">
      <c r="A36" s="3" t="inlineStr">
        <is>
          <t>2. 最左「提交者」整列复制到档案表「姓名」；「提交时间」丢掉。</t>
        </is>
      </c>
    </row>
    <row r="37" ht="22" customHeight="1">
      <c r="A37" s="3" t="inlineStr">
        <is>
          <t>3. 「学号」和 1_ 开头的题，按列名对到「学生档案」，整列粘贴。不要整表硬贴。</t>
        </is>
      </c>
    </row>
    <row r="38" ht="22" customHeight="1">
      <c r="A38" s="3" t="inlineStr">
        <is>
          <t>4. 班级：一个班一张表，档案表 A 列自己往下填。</t>
        </is>
      </c>
    </row>
    <row r="39" ht="22" customHeight="1">
      <c r="A39" s="3" t="inlineStr">
        <is>
          <t>5. 「本人签名」「填表日期」企业微信里没有，也不用贴。纸质才用。</t>
        </is>
      </c>
    </row>
    <row r="40" ht="22" customHeight="1">
      <c r="A40" s="3" t="inlineStr">
        <is>
          <t>6. 紫色 T_ 列一个都不要贴。贴完学号和第18题，它们自己会亮。</t>
        </is>
      </c>
    </row>
    <row r="41" ht="22" customHeight="1">
      <c r="A41" s="3" t="inlineStr">
        <is>
          <t>7. 发给学生看的说明，只复制本表绿色/白色「发给学生看的说明」列。橙色「老师自己看」列不要贴进收集表。</t>
        </is>
      </c>
    </row>
  </sheetData>
  <mergeCells count="10">
    <mergeCell ref="A39:H39"/>
    <mergeCell ref="A35:H35"/>
    <mergeCell ref="A38:H38"/>
    <mergeCell ref="A40:H40"/>
    <mergeCell ref="A41:H41"/>
    <mergeCell ref="A36:H36"/>
    <mergeCell ref="A37:H37"/>
    <mergeCell ref="A32:H32"/>
    <mergeCell ref="A31:H31"/>
    <mergeCell ref="A34:H3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65100"/>
    <outlinePr summaryBelow="1" summaryRight="1"/>
    <pageSetUpPr/>
  </sheetPr>
  <dimension ref="A1:M80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2" customWidth="1" min="1" max="1"/>
    <col width="10" customWidth="1" min="2" max="2"/>
    <col width="10" customWidth="1" min="3" max="3"/>
    <col width="18" customWidth="1" min="4" max="4"/>
    <col width="16" customWidth="1" min="5" max="5"/>
    <col width="14" customWidth="1" min="6" max="6"/>
    <col width="14" customWidth="1" min="7" max="7"/>
    <col width="16" customWidth="1" min="8" max="8"/>
    <col width="3" customWidth="1" min="9" max="9"/>
    <col width="12" customWidth="1" min="10" max="10"/>
    <col width="8" customWidth="1" min="11" max="11"/>
    <col width="8" customWidth="1" min="12" max="12"/>
    <col width="10" customWidth="1" min="13" max="13"/>
  </cols>
  <sheetData>
    <row r="1" ht="78" customHeight="1">
      <c r="A1" s="55" t="inlineStr">
        <is>
          <t>问卷贴进「学生档案」之后再来。现在左边空着、F 列没有标签，正常——标签是贴完第1题第2题才自动打的，学期一开始没有。
这张表不会自动分组。你只填 G 列（蓝色下拉）。不要让学委分组，学委会把熟人放一起。学委只帮核对宿舍号。
填法：先把 F 列「种子-数学」每人分到不同组 → 再把「零基础」每人分到不同组 → 「需帮扶」跟着种子走 → 剩下的人往人少的组填。同宿舍能一起就一起。
填完看右边：每组「种子」不能是 0，「零基础」不能是 0。上课说一句即可：你们这组叫出纳组，管钱的。不用讲岗位课。桌签 90-C10。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7" t="n"/>
    </row>
    <row r="2" ht="36" customHeight="1">
      <c r="A2" s="21" t="inlineStr">
        <is>
          <t>学号</t>
        </is>
      </c>
      <c r="B2" s="21" t="inlineStr">
        <is>
          <t>姓名</t>
        </is>
      </c>
      <c r="C2" s="21" t="inlineStr">
        <is>
          <t>宿舍</t>
        </is>
      </c>
      <c r="D2" s="21" t="inlineStr">
        <is>
          <t>接触过会计吗</t>
        </is>
      </c>
      <c r="E2" s="21" t="inlineStr">
        <is>
          <t>数学</t>
        </is>
      </c>
      <c r="F2" s="21" t="inlineStr">
        <is>
          <t>标签（自动）</t>
        </is>
      </c>
      <c r="G2" s="56" t="inlineStr">
        <is>
          <t>就填这一列↓分到哪组</t>
        </is>
      </c>
      <c r="H2" s="21" t="inlineStr">
        <is>
          <t>备注</t>
        </is>
      </c>
      <c r="J2" s="6" t="inlineStr">
        <is>
          <t>组名</t>
        </is>
      </c>
      <c r="K2" s="6" t="inlineStr">
        <is>
          <t>人数</t>
        </is>
      </c>
      <c r="L2" s="6" t="inlineStr">
        <is>
          <t>种子</t>
        </is>
      </c>
      <c r="M2" s="6" t="inlineStr">
        <is>
          <t>零基础</t>
        </is>
      </c>
    </row>
    <row r="3">
      <c r="A3" s="15">
        <f>IF(学生档案!B3="","",学生档案!B3)</f>
        <v/>
      </c>
      <c r="B3" s="15">
        <f>IF(学生档案!C3="","",学生档案!C3)</f>
        <v/>
      </c>
      <c r="C3" s="15">
        <f>IF(学生档案!D3="","",学生档案!D3)</f>
        <v/>
      </c>
      <c r="D3" s="15">
        <f>IF(学生档案!E3="","",学生档案!E3)</f>
        <v/>
      </c>
      <c r="E3" s="15">
        <f>IF(学生档案!F3="","",学生档案!F3)</f>
        <v/>
      </c>
      <c r="F3" s="17">
        <f>IF(B3="","",IF(TRIM(E3)="还不错","种子-数学",IF(TRIM(D3)="完全没有","零基础",IF(TRIM(E3)="看到数字就头大","需帮扶","普通"))))</f>
        <v/>
      </c>
      <c r="G3" s="22" t="n"/>
      <c r="H3" s="15" t="n"/>
      <c r="J3" s="15" t="inlineStr">
        <is>
          <t>出纳组</t>
        </is>
      </c>
      <c r="K3" s="15">
        <f>COUNTIF($G$3:$G$52,J3)</f>
        <v/>
      </c>
      <c r="L3" s="15">
        <f>COUNTIFS($G$3:$G$52,J3,$F$3:$F$52,"种子-数学")</f>
        <v/>
      </c>
      <c r="M3" s="15">
        <f>COUNTIFS($G$3:$G$52,J3,$F$3:$F$52,"零基础")</f>
        <v/>
      </c>
    </row>
    <row r="4">
      <c r="A4" s="15">
        <f>IF(学生档案!B4="","",学生档案!B4)</f>
        <v/>
      </c>
      <c r="B4" s="15">
        <f>IF(学生档案!C4="","",学生档案!C4)</f>
        <v/>
      </c>
      <c r="C4" s="15">
        <f>IF(学生档案!D4="","",学生档案!D4)</f>
        <v/>
      </c>
      <c r="D4" s="15">
        <f>IF(学生档案!E4="","",学生档案!E4)</f>
        <v/>
      </c>
      <c r="E4" s="15">
        <f>IF(学生档案!F4="","",学生档案!F4)</f>
        <v/>
      </c>
      <c r="F4" s="17">
        <f>IF(B4="","",IF(TRIM(E4)="还不错","种子-数学",IF(TRIM(D4)="完全没有","零基础",IF(TRIM(E4)="看到数字就头大","需帮扶","普通"))))</f>
        <v/>
      </c>
      <c r="G4" s="22" t="n"/>
      <c r="H4" s="15" t="n"/>
      <c r="J4" s="15" t="inlineStr">
        <is>
          <t>记账组</t>
        </is>
      </c>
      <c r="K4" s="15">
        <f>COUNTIF($G$3:$G$52,J4)</f>
        <v/>
      </c>
      <c r="L4" s="15">
        <f>COUNTIFS($G$3:$G$52,J4,$F$3:$F$52,"种子-数学")</f>
        <v/>
      </c>
      <c r="M4" s="15">
        <f>COUNTIFS($G$3:$G$52,J4,$F$3:$F$52,"零基础")</f>
        <v/>
      </c>
    </row>
    <row r="5">
      <c r="A5" s="15">
        <f>IF(学生档案!B5="","",学生档案!B5)</f>
        <v/>
      </c>
      <c r="B5" s="15">
        <f>IF(学生档案!C5="","",学生档案!C5)</f>
        <v/>
      </c>
      <c r="C5" s="15">
        <f>IF(学生档案!D5="","",学生档案!D5)</f>
        <v/>
      </c>
      <c r="D5" s="15">
        <f>IF(学生档案!E5="","",学生档案!E5)</f>
        <v/>
      </c>
      <c r="E5" s="15">
        <f>IF(学生档案!F5="","",学生档案!F5)</f>
        <v/>
      </c>
      <c r="F5" s="17">
        <f>IF(B5="","",IF(TRIM(E5)="还不错","种子-数学",IF(TRIM(D5)="完全没有","零基础",IF(TRIM(E5)="看到数字就头大","需帮扶","普通"))))</f>
        <v/>
      </c>
      <c r="G5" s="22" t="n"/>
      <c r="H5" s="15" t="n"/>
      <c r="J5" s="15" t="inlineStr">
        <is>
          <t>成本组</t>
        </is>
      </c>
      <c r="K5" s="15">
        <f>COUNTIF($G$3:$G$52,J5)</f>
        <v/>
      </c>
      <c r="L5" s="15">
        <f>COUNTIFS($G$3:$G$52,J5,$F$3:$F$52,"种子-数学")</f>
        <v/>
      </c>
      <c r="M5" s="15">
        <f>COUNTIFS($G$3:$G$52,J5,$F$3:$F$52,"零基础")</f>
        <v/>
      </c>
    </row>
    <row r="6">
      <c r="A6" s="15">
        <f>IF(学生档案!B6="","",学生档案!B6)</f>
        <v/>
      </c>
      <c r="B6" s="15">
        <f>IF(学生档案!C6="","",学生档案!C6)</f>
        <v/>
      </c>
      <c r="C6" s="15">
        <f>IF(学生档案!D6="","",学生档案!D6)</f>
        <v/>
      </c>
      <c r="D6" s="15">
        <f>IF(学生档案!E6="","",学生档案!E6)</f>
        <v/>
      </c>
      <c r="E6" s="15">
        <f>IF(学生档案!F6="","",学生档案!F6)</f>
        <v/>
      </c>
      <c r="F6" s="17">
        <f>IF(B6="","",IF(TRIM(E6)="还不错","种子-数学",IF(TRIM(D6)="完全没有","零基础",IF(TRIM(E6)="看到数字就头大","需帮扶","普通"))))</f>
        <v/>
      </c>
      <c r="G6" s="22" t="n"/>
      <c r="H6" s="15" t="n"/>
      <c r="J6" s="15" t="inlineStr">
        <is>
          <t>审核组</t>
        </is>
      </c>
      <c r="K6" s="15">
        <f>COUNTIF($G$3:$G$52,J6)</f>
        <v/>
      </c>
      <c r="L6" s="15">
        <f>COUNTIFS($G$3:$G$52,J6,$F$3:$F$52,"种子-数学")</f>
        <v/>
      </c>
      <c r="M6" s="15">
        <f>COUNTIFS($G$3:$G$52,J6,$F$3:$F$52,"零基础")</f>
        <v/>
      </c>
    </row>
    <row r="7">
      <c r="A7" s="15">
        <f>IF(学生档案!B7="","",学生档案!B7)</f>
        <v/>
      </c>
      <c r="B7" s="15">
        <f>IF(学生档案!C7="","",学生档案!C7)</f>
        <v/>
      </c>
      <c r="C7" s="15">
        <f>IF(学生档案!D7="","",学生档案!D7)</f>
        <v/>
      </c>
      <c r="D7" s="15">
        <f>IF(学生档案!E7="","",学生档案!E7)</f>
        <v/>
      </c>
      <c r="E7" s="15">
        <f>IF(学生档案!F7="","",学生档案!F7)</f>
        <v/>
      </c>
      <c r="F7" s="17">
        <f>IF(B7="","",IF(TRIM(E7)="还不错","种子-数学",IF(TRIM(D7)="完全没有","零基础",IF(TRIM(E7)="看到数字就头大","需帮扶","普通"))))</f>
        <v/>
      </c>
      <c r="G7" s="22" t="n"/>
      <c r="H7" s="15" t="n"/>
      <c r="J7" s="15" t="inlineStr">
        <is>
          <t>仓管组</t>
        </is>
      </c>
      <c r="K7" s="15">
        <f>COUNTIF($G$3:$G$52,J7)</f>
        <v/>
      </c>
      <c r="L7" s="15">
        <f>COUNTIFS($G$3:$G$52,J7,$F$3:$F$52,"种子-数学")</f>
        <v/>
      </c>
      <c r="M7" s="15">
        <f>COUNTIFS($G$3:$G$52,J7,$F$3:$F$52,"零基础")</f>
        <v/>
      </c>
    </row>
    <row r="8">
      <c r="A8" s="15">
        <f>IF(学生档案!B8="","",学生档案!B8)</f>
        <v/>
      </c>
      <c r="B8" s="15">
        <f>IF(学生档案!C8="","",学生档案!C8)</f>
        <v/>
      </c>
      <c r="C8" s="15">
        <f>IF(学生档案!D8="","",学生档案!D8)</f>
        <v/>
      </c>
      <c r="D8" s="15">
        <f>IF(学生档案!E8="","",学生档案!E8)</f>
        <v/>
      </c>
      <c r="E8" s="15">
        <f>IF(学生档案!F8="","",学生档案!F8)</f>
        <v/>
      </c>
      <c r="F8" s="17">
        <f>IF(B8="","",IF(TRIM(E8)="还不错","种子-数学",IF(TRIM(D8)="完全没有","零基础",IF(TRIM(E8)="看到数字就头大","需帮扶","普通"))))</f>
        <v/>
      </c>
      <c r="G8" s="22" t="n"/>
      <c r="H8" s="15" t="n"/>
      <c r="J8" s="15" t="inlineStr">
        <is>
          <t>报表组</t>
        </is>
      </c>
      <c r="K8" s="15">
        <f>COUNTIF($G$3:$G$52,J8)</f>
        <v/>
      </c>
      <c r="L8" s="15">
        <f>COUNTIFS($G$3:$G$52,J8,$F$3:$F$52,"种子-数学")</f>
        <v/>
      </c>
      <c r="M8" s="15">
        <f>COUNTIFS($G$3:$G$52,J8,$F$3:$F$52,"零基础")</f>
        <v/>
      </c>
    </row>
    <row r="9">
      <c r="A9" s="15">
        <f>IF(学生档案!B9="","",学生档案!B9)</f>
        <v/>
      </c>
      <c r="B9" s="15">
        <f>IF(学生档案!C9="","",学生档案!C9)</f>
        <v/>
      </c>
      <c r="C9" s="15">
        <f>IF(学生档案!D9="","",学生档案!D9)</f>
        <v/>
      </c>
      <c r="D9" s="15">
        <f>IF(学生档案!E9="","",学生档案!E9)</f>
        <v/>
      </c>
      <c r="E9" s="15">
        <f>IF(学生档案!F9="","",学生档案!F9)</f>
        <v/>
      </c>
      <c r="F9" s="17">
        <f>IF(B9="","",IF(TRIM(E9)="还不错","种子-数学",IF(TRIM(D9)="完全没有","零基础",IF(TRIM(E9)="看到数字就头大","需帮扶","普通"))))</f>
        <v/>
      </c>
      <c r="G9" s="22" t="n"/>
      <c r="H9" s="15" t="n"/>
    </row>
    <row r="10">
      <c r="A10" s="15">
        <f>IF(学生档案!B10="","",学生档案!B10)</f>
        <v/>
      </c>
      <c r="B10" s="15">
        <f>IF(学生档案!C10="","",学生档案!C10)</f>
        <v/>
      </c>
      <c r="C10" s="15">
        <f>IF(学生档案!D10="","",学生档案!D10)</f>
        <v/>
      </c>
      <c r="D10" s="15">
        <f>IF(学生档案!E10="","",学生档案!E10)</f>
        <v/>
      </c>
      <c r="E10" s="15">
        <f>IF(学生档案!F10="","",学生档案!F10)</f>
        <v/>
      </c>
      <c r="F10" s="17">
        <f>IF(B10="","",IF(TRIM(E10)="还不错","种子-数学",IF(TRIM(D10)="完全没有","零基础",IF(TRIM(E10)="看到数字就头大","需帮扶","普通"))))</f>
        <v/>
      </c>
      <c r="G10" s="22" t="n"/>
      <c r="H10" s="15" t="n"/>
      <c r="J10" s="38" t="inlineStr">
        <is>
          <t>人数差超过 2，或某组种子=0 / 零基础=0，就再调。</t>
        </is>
      </c>
    </row>
    <row r="11">
      <c r="A11" s="15">
        <f>IF(学生档案!B11="","",学生档案!B11)</f>
        <v/>
      </c>
      <c r="B11" s="15">
        <f>IF(学生档案!C11="","",学生档案!C11)</f>
        <v/>
      </c>
      <c r="C11" s="15">
        <f>IF(学生档案!D11="","",学生档案!D11)</f>
        <v/>
      </c>
      <c r="D11" s="15">
        <f>IF(学生档案!E11="","",学生档案!E11)</f>
        <v/>
      </c>
      <c r="E11" s="15">
        <f>IF(学生档案!F11="","",学生档案!F11)</f>
        <v/>
      </c>
      <c r="F11" s="17">
        <f>IF(B11="","",IF(TRIM(E11)="还不错","种子-数学",IF(TRIM(D11)="完全没有","零基础",IF(TRIM(E11)="看到数字就头大","需帮扶","普通"))))</f>
        <v/>
      </c>
      <c r="G11" s="22" t="n"/>
      <c r="H11" s="15" t="n"/>
    </row>
    <row r="12">
      <c r="A12" s="15">
        <f>IF(学生档案!B12="","",学生档案!B12)</f>
        <v/>
      </c>
      <c r="B12" s="15">
        <f>IF(学生档案!C12="","",学生档案!C12)</f>
        <v/>
      </c>
      <c r="C12" s="15">
        <f>IF(学生档案!D12="","",学生档案!D12)</f>
        <v/>
      </c>
      <c r="D12" s="15">
        <f>IF(学生档案!E12="","",学生档案!E12)</f>
        <v/>
      </c>
      <c r="E12" s="15">
        <f>IF(学生档案!F12="","",学生档案!F12)</f>
        <v/>
      </c>
      <c r="F12" s="17">
        <f>IF(B12="","",IF(TRIM(E12)="还不错","种子-数学",IF(TRIM(D12)="完全没有","零基础",IF(TRIM(E12)="看到数字就头大","需帮扶","普通"))))</f>
        <v/>
      </c>
      <c r="G12" s="22" t="n"/>
      <c r="H12" s="15" t="n"/>
    </row>
    <row r="13">
      <c r="A13" s="15">
        <f>IF(学生档案!B13="","",学生档案!B13)</f>
        <v/>
      </c>
      <c r="B13" s="15">
        <f>IF(学生档案!C13="","",学生档案!C13)</f>
        <v/>
      </c>
      <c r="C13" s="15">
        <f>IF(学生档案!D13="","",学生档案!D13)</f>
        <v/>
      </c>
      <c r="D13" s="15">
        <f>IF(学生档案!E13="","",学生档案!E13)</f>
        <v/>
      </c>
      <c r="E13" s="15">
        <f>IF(学生档案!F13="","",学生档案!F13)</f>
        <v/>
      </c>
      <c r="F13" s="17">
        <f>IF(B13="","",IF(TRIM(E13)="还不错","种子-数学",IF(TRIM(D13)="完全没有","零基础",IF(TRIM(E13)="看到数字就头大","需帮扶","普通"))))</f>
        <v/>
      </c>
      <c r="G13" s="22" t="n"/>
      <c r="H13" s="15" t="n"/>
    </row>
    <row r="14">
      <c r="A14" s="15">
        <f>IF(学生档案!B14="","",学生档案!B14)</f>
        <v/>
      </c>
      <c r="B14" s="15">
        <f>IF(学生档案!C14="","",学生档案!C14)</f>
        <v/>
      </c>
      <c r="C14" s="15">
        <f>IF(学生档案!D14="","",学生档案!D14)</f>
        <v/>
      </c>
      <c r="D14" s="15">
        <f>IF(学生档案!E14="","",学生档案!E14)</f>
        <v/>
      </c>
      <c r="E14" s="15">
        <f>IF(学生档案!F14="","",学生档案!F14)</f>
        <v/>
      </c>
      <c r="F14" s="17">
        <f>IF(B14="","",IF(TRIM(E14)="还不错","种子-数学",IF(TRIM(D14)="完全没有","零基础",IF(TRIM(E14)="看到数字就头大","需帮扶","普通"))))</f>
        <v/>
      </c>
      <c r="G14" s="22" t="n"/>
      <c r="H14" s="15" t="n"/>
    </row>
    <row r="15">
      <c r="A15" s="15">
        <f>IF(学生档案!B15="","",学生档案!B15)</f>
        <v/>
      </c>
      <c r="B15" s="15">
        <f>IF(学生档案!C15="","",学生档案!C15)</f>
        <v/>
      </c>
      <c r="C15" s="15">
        <f>IF(学生档案!D15="","",学生档案!D15)</f>
        <v/>
      </c>
      <c r="D15" s="15">
        <f>IF(学生档案!E15="","",学生档案!E15)</f>
        <v/>
      </c>
      <c r="E15" s="15">
        <f>IF(学生档案!F15="","",学生档案!F15)</f>
        <v/>
      </c>
      <c r="F15" s="17">
        <f>IF(B15="","",IF(TRIM(E15)="还不错","种子-数学",IF(TRIM(D15)="完全没有","零基础",IF(TRIM(E15)="看到数字就头大","需帮扶","普通"))))</f>
        <v/>
      </c>
      <c r="G15" s="22" t="n"/>
      <c r="H15" s="15" t="n"/>
    </row>
    <row r="16">
      <c r="A16" s="15">
        <f>IF(学生档案!B16="","",学生档案!B16)</f>
        <v/>
      </c>
      <c r="B16" s="15">
        <f>IF(学生档案!C16="","",学生档案!C16)</f>
        <v/>
      </c>
      <c r="C16" s="15">
        <f>IF(学生档案!D16="","",学生档案!D16)</f>
        <v/>
      </c>
      <c r="D16" s="15">
        <f>IF(学生档案!E16="","",学生档案!E16)</f>
        <v/>
      </c>
      <c r="E16" s="15">
        <f>IF(学生档案!F16="","",学生档案!F16)</f>
        <v/>
      </c>
      <c r="F16" s="17">
        <f>IF(B16="","",IF(TRIM(E16)="还不错","种子-数学",IF(TRIM(D16)="完全没有","零基础",IF(TRIM(E16)="看到数字就头大","需帮扶","普通"))))</f>
        <v/>
      </c>
      <c r="G16" s="22" t="n"/>
      <c r="H16" s="15" t="n"/>
    </row>
    <row r="17">
      <c r="A17" s="15">
        <f>IF(学生档案!B17="","",学生档案!B17)</f>
        <v/>
      </c>
      <c r="B17" s="15">
        <f>IF(学生档案!C17="","",学生档案!C17)</f>
        <v/>
      </c>
      <c r="C17" s="15">
        <f>IF(学生档案!D17="","",学生档案!D17)</f>
        <v/>
      </c>
      <c r="D17" s="15">
        <f>IF(学生档案!E17="","",学生档案!E17)</f>
        <v/>
      </c>
      <c r="E17" s="15">
        <f>IF(学生档案!F17="","",学生档案!F17)</f>
        <v/>
      </c>
      <c r="F17" s="17">
        <f>IF(B17="","",IF(TRIM(E17)="还不错","种子-数学",IF(TRIM(D17)="完全没有","零基础",IF(TRIM(E17)="看到数字就头大","需帮扶","普通"))))</f>
        <v/>
      </c>
      <c r="G17" s="22" t="n"/>
      <c r="H17" s="15" t="n"/>
    </row>
    <row r="18">
      <c r="A18" s="15">
        <f>IF(学生档案!B18="","",学生档案!B18)</f>
        <v/>
      </c>
      <c r="B18" s="15">
        <f>IF(学生档案!C18="","",学生档案!C18)</f>
        <v/>
      </c>
      <c r="C18" s="15">
        <f>IF(学生档案!D18="","",学生档案!D18)</f>
        <v/>
      </c>
      <c r="D18" s="15">
        <f>IF(学生档案!E18="","",学生档案!E18)</f>
        <v/>
      </c>
      <c r="E18" s="15">
        <f>IF(学生档案!F18="","",学生档案!F18)</f>
        <v/>
      </c>
      <c r="F18" s="17">
        <f>IF(B18="","",IF(TRIM(E18)="还不错","种子-数学",IF(TRIM(D18)="完全没有","零基础",IF(TRIM(E18)="看到数字就头大","需帮扶","普通"))))</f>
        <v/>
      </c>
      <c r="G18" s="22" t="n"/>
      <c r="H18" s="15" t="n"/>
    </row>
    <row r="19">
      <c r="A19" s="15">
        <f>IF(学生档案!B19="","",学生档案!B19)</f>
        <v/>
      </c>
      <c r="B19" s="15">
        <f>IF(学生档案!C19="","",学生档案!C19)</f>
        <v/>
      </c>
      <c r="C19" s="15">
        <f>IF(学生档案!D19="","",学生档案!D19)</f>
        <v/>
      </c>
      <c r="D19" s="15">
        <f>IF(学生档案!E19="","",学生档案!E19)</f>
        <v/>
      </c>
      <c r="E19" s="15">
        <f>IF(学生档案!F19="","",学生档案!F19)</f>
        <v/>
      </c>
      <c r="F19" s="17">
        <f>IF(B19="","",IF(TRIM(E19)="还不错","种子-数学",IF(TRIM(D19)="完全没有","零基础",IF(TRIM(E19)="看到数字就头大","需帮扶","普通"))))</f>
        <v/>
      </c>
      <c r="G19" s="22" t="n"/>
      <c r="H19" s="15" t="n"/>
    </row>
    <row r="20">
      <c r="A20" s="15">
        <f>IF(学生档案!B20="","",学生档案!B20)</f>
        <v/>
      </c>
      <c r="B20" s="15">
        <f>IF(学生档案!C20="","",学生档案!C20)</f>
        <v/>
      </c>
      <c r="C20" s="15">
        <f>IF(学生档案!D20="","",学生档案!D20)</f>
        <v/>
      </c>
      <c r="D20" s="15">
        <f>IF(学生档案!E20="","",学生档案!E20)</f>
        <v/>
      </c>
      <c r="E20" s="15">
        <f>IF(学生档案!F20="","",学生档案!F20)</f>
        <v/>
      </c>
      <c r="F20" s="17">
        <f>IF(B20="","",IF(TRIM(E20)="还不错","种子-数学",IF(TRIM(D20)="完全没有","零基础",IF(TRIM(E20)="看到数字就头大","需帮扶","普通"))))</f>
        <v/>
      </c>
      <c r="G20" s="22" t="n"/>
      <c r="H20" s="15" t="n"/>
    </row>
    <row r="21">
      <c r="A21" s="15">
        <f>IF(学生档案!B21="","",学生档案!B21)</f>
        <v/>
      </c>
      <c r="B21" s="15">
        <f>IF(学生档案!C21="","",学生档案!C21)</f>
        <v/>
      </c>
      <c r="C21" s="15">
        <f>IF(学生档案!D21="","",学生档案!D21)</f>
        <v/>
      </c>
      <c r="D21" s="15">
        <f>IF(学生档案!E21="","",学生档案!E21)</f>
        <v/>
      </c>
      <c r="E21" s="15">
        <f>IF(学生档案!F21="","",学生档案!F21)</f>
        <v/>
      </c>
      <c r="F21" s="17">
        <f>IF(B21="","",IF(TRIM(E21)="还不错","种子-数学",IF(TRIM(D21)="完全没有","零基础",IF(TRIM(E21)="看到数字就头大","需帮扶","普通"))))</f>
        <v/>
      </c>
      <c r="G21" s="22" t="n"/>
      <c r="H21" s="15" t="n"/>
    </row>
    <row r="22">
      <c r="A22" s="15">
        <f>IF(学生档案!B22="","",学生档案!B22)</f>
        <v/>
      </c>
      <c r="B22" s="15">
        <f>IF(学生档案!C22="","",学生档案!C22)</f>
        <v/>
      </c>
      <c r="C22" s="15">
        <f>IF(学生档案!D22="","",学生档案!D22)</f>
        <v/>
      </c>
      <c r="D22" s="15">
        <f>IF(学生档案!E22="","",学生档案!E22)</f>
        <v/>
      </c>
      <c r="E22" s="15">
        <f>IF(学生档案!F22="","",学生档案!F22)</f>
        <v/>
      </c>
      <c r="F22" s="17">
        <f>IF(B22="","",IF(TRIM(E22)="还不错","种子-数学",IF(TRIM(D22)="完全没有","零基础",IF(TRIM(E22)="看到数字就头大","需帮扶","普通"))))</f>
        <v/>
      </c>
      <c r="G22" s="22" t="n"/>
      <c r="H22" s="15" t="n"/>
    </row>
    <row r="23">
      <c r="A23" s="15">
        <f>IF(学生档案!B23="","",学生档案!B23)</f>
        <v/>
      </c>
      <c r="B23" s="15">
        <f>IF(学生档案!C23="","",学生档案!C23)</f>
        <v/>
      </c>
      <c r="C23" s="15">
        <f>IF(学生档案!D23="","",学生档案!D23)</f>
        <v/>
      </c>
      <c r="D23" s="15">
        <f>IF(学生档案!E23="","",学生档案!E23)</f>
        <v/>
      </c>
      <c r="E23" s="15">
        <f>IF(学生档案!F23="","",学生档案!F23)</f>
        <v/>
      </c>
      <c r="F23" s="17">
        <f>IF(B23="","",IF(TRIM(E23)="还不错","种子-数学",IF(TRIM(D23)="完全没有","零基础",IF(TRIM(E23)="看到数字就头大","需帮扶","普通"))))</f>
        <v/>
      </c>
      <c r="G23" s="22" t="n"/>
      <c r="H23" s="15" t="n"/>
    </row>
    <row r="24">
      <c r="A24" s="15">
        <f>IF(学生档案!B24="","",学生档案!B24)</f>
        <v/>
      </c>
      <c r="B24" s="15">
        <f>IF(学生档案!C24="","",学生档案!C24)</f>
        <v/>
      </c>
      <c r="C24" s="15">
        <f>IF(学生档案!D24="","",学生档案!D24)</f>
        <v/>
      </c>
      <c r="D24" s="15">
        <f>IF(学生档案!E24="","",学生档案!E24)</f>
        <v/>
      </c>
      <c r="E24" s="15">
        <f>IF(学生档案!F24="","",学生档案!F24)</f>
        <v/>
      </c>
      <c r="F24" s="17">
        <f>IF(B24="","",IF(TRIM(E24)="还不错","种子-数学",IF(TRIM(D24)="完全没有","零基础",IF(TRIM(E24)="看到数字就头大","需帮扶","普通"))))</f>
        <v/>
      </c>
      <c r="G24" s="22" t="n"/>
      <c r="H24" s="15" t="n"/>
    </row>
    <row r="25">
      <c r="A25" s="15">
        <f>IF(学生档案!B25="","",学生档案!B25)</f>
        <v/>
      </c>
      <c r="B25" s="15">
        <f>IF(学生档案!C25="","",学生档案!C25)</f>
        <v/>
      </c>
      <c r="C25" s="15">
        <f>IF(学生档案!D25="","",学生档案!D25)</f>
        <v/>
      </c>
      <c r="D25" s="15">
        <f>IF(学生档案!E25="","",学生档案!E25)</f>
        <v/>
      </c>
      <c r="E25" s="15">
        <f>IF(学生档案!F25="","",学生档案!F25)</f>
        <v/>
      </c>
      <c r="F25" s="17">
        <f>IF(B25="","",IF(TRIM(E25)="还不错","种子-数学",IF(TRIM(D25)="完全没有","零基础",IF(TRIM(E25)="看到数字就头大","需帮扶","普通"))))</f>
        <v/>
      </c>
      <c r="G25" s="22" t="n"/>
      <c r="H25" s="15" t="n"/>
    </row>
    <row r="26">
      <c r="A26" s="15">
        <f>IF(学生档案!B26="","",学生档案!B26)</f>
        <v/>
      </c>
      <c r="B26" s="15">
        <f>IF(学生档案!C26="","",学生档案!C26)</f>
        <v/>
      </c>
      <c r="C26" s="15">
        <f>IF(学生档案!D26="","",学生档案!D26)</f>
        <v/>
      </c>
      <c r="D26" s="15">
        <f>IF(学生档案!E26="","",学生档案!E26)</f>
        <v/>
      </c>
      <c r="E26" s="15">
        <f>IF(学生档案!F26="","",学生档案!F26)</f>
        <v/>
      </c>
      <c r="F26" s="17">
        <f>IF(B26="","",IF(TRIM(E26)="还不错","种子-数学",IF(TRIM(D26)="完全没有","零基础",IF(TRIM(E26)="看到数字就头大","需帮扶","普通"))))</f>
        <v/>
      </c>
      <c r="G26" s="22" t="n"/>
      <c r="H26" s="15" t="n"/>
    </row>
    <row r="27">
      <c r="A27" s="15">
        <f>IF(学生档案!B27="","",学生档案!B27)</f>
        <v/>
      </c>
      <c r="B27" s="15">
        <f>IF(学生档案!C27="","",学生档案!C27)</f>
        <v/>
      </c>
      <c r="C27" s="15">
        <f>IF(学生档案!D27="","",学生档案!D27)</f>
        <v/>
      </c>
      <c r="D27" s="15">
        <f>IF(学生档案!E27="","",学生档案!E27)</f>
        <v/>
      </c>
      <c r="E27" s="15">
        <f>IF(学生档案!F27="","",学生档案!F27)</f>
        <v/>
      </c>
      <c r="F27" s="17">
        <f>IF(B27="","",IF(TRIM(E27)="还不错","种子-数学",IF(TRIM(D27)="完全没有","零基础",IF(TRIM(E27)="看到数字就头大","需帮扶","普通"))))</f>
        <v/>
      </c>
      <c r="G27" s="22" t="n"/>
      <c r="H27" s="15" t="n"/>
    </row>
    <row r="28">
      <c r="A28" s="15">
        <f>IF(学生档案!B28="","",学生档案!B28)</f>
        <v/>
      </c>
      <c r="B28" s="15">
        <f>IF(学生档案!C28="","",学生档案!C28)</f>
        <v/>
      </c>
      <c r="C28" s="15">
        <f>IF(学生档案!D28="","",学生档案!D28)</f>
        <v/>
      </c>
      <c r="D28" s="15">
        <f>IF(学生档案!E28="","",学生档案!E28)</f>
        <v/>
      </c>
      <c r="E28" s="15">
        <f>IF(学生档案!F28="","",学生档案!F28)</f>
        <v/>
      </c>
      <c r="F28" s="17">
        <f>IF(B28="","",IF(TRIM(E28)="还不错","种子-数学",IF(TRIM(D28)="完全没有","零基础",IF(TRIM(E28)="看到数字就头大","需帮扶","普通"))))</f>
        <v/>
      </c>
      <c r="G28" s="22" t="n"/>
      <c r="H28" s="15" t="n"/>
    </row>
    <row r="29">
      <c r="A29" s="15">
        <f>IF(学生档案!B29="","",学生档案!B29)</f>
        <v/>
      </c>
      <c r="B29" s="15">
        <f>IF(学生档案!C29="","",学生档案!C29)</f>
        <v/>
      </c>
      <c r="C29" s="15">
        <f>IF(学生档案!D29="","",学生档案!D29)</f>
        <v/>
      </c>
      <c r="D29" s="15">
        <f>IF(学生档案!E29="","",学生档案!E29)</f>
        <v/>
      </c>
      <c r="E29" s="15">
        <f>IF(学生档案!F29="","",学生档案!F29)</f>
        <v/>
      </c>
      <c r="F29" s="17">
        <f>IF(B29="","",IF(TRIM(E29)="还不错","种子-数学",IF(TRIM(D29)="完全没有","零基础",IF(TRIM(E29)="看到数字就头大","需帮扶","普通"))))</f>
        <v/>
      </c>
      <c r="G29" s="22" t="n"/>
      <c r="H29" s="15" t="n"/>
    </row>
    <row r="30">
      <c r="A30" s="15">
        <f>IF(学生档案!B30="","",学生档案!B30)</f>
        <v/>
      </c>
      <c r="B30" s="15">
        <f>IF(学生档案!C30="","",学生档案!C30)</f>
        <v/>
      </c>
      <c r="C30" s="15">
        <f>IF(学生档案!D30="","",学生档案!D30)</f>
        <v/>
      </c>
      <c r="D30" s="15">
        <f>IF(学生档案!E30="","",学生档案!E30)</f>
        <v/>
      </c>
      <c r="E30" s="15">
        <f>IF(学生档案!F30="","",学生档案!F30)</f>
        <v/>
      </c>
      <c r="F30" s="17">
        <f>IF(B30="","",IF(TRIM(E30)="还不错","种子-数学",IF(TRIM(D30)="完全没有","零基础",IF(TRIM(E30)="看到数字就头大","需帮扶","普通"))))</f>
        <v/>
      </c>
      <c r="G30" s="22" t="n"/>
      <c r="H30" s="15" t="n"/>
    </row>
    <row r="31">
      <c r="A31" s="15">
        <f>IF(学生档案!B31="","",学生档案!B31)</f>
        <v/>
      </c>
      <c r="B31" s="15">
        <f>IF(学生档案!C31="","",学生档案!C31)</f>
        <v/>
      </c>
      <c r="C31" s="15">
        <f>IF(学生档案!D31="","",学生档案!D31)</f>
        <v/>
      </c>
      <c r="D31" s="15">
        <f>IF(学生档案!E31="","",学生档案!E31)</f>
        <v/>
      </c>
      <c r="E31" s="15">
        <f>IF(学生档案!F31="","",学生档案!F31)</f>
        <v/>
      </c>
      <c r="F31" s="17">
        <f>IF(B31="","",IF(TRIM(E31)="还不错","种子-数学",IF(TRIM(D31)="完全没有","零基础",IF(TRIM(E31)="看到数字就头大","需帮扶","普通"))))</f>
        <v/>
      </c>
      <c r="G31" s="22" t="n"/>
      <c r="H31" s="15" t="n"/>
    </row>
    <row r="32">
      <c r="A32" s="15">
        <f>IF(学生档案!B32="","",学生档案!B32)</f>
        <v/>
      </c>
      <c r="B32" s="15">
        <f>IF(学生档案!C32="","",学生档案!C32)</f>
        <v/>
      </c>
      <c r="C32" s="15">
        <f>IF(学生档案!D32="","",学生档案!D32)</f>
        <v/>
      </c>
      <c r="D32" s="15">
        <f>IF(学生档案!E32="","",学生档案!E32)</f>
        <v/>
      </c>
      <c r="E32" s="15">
        <f>IF(学生档案!F32="","",学生档案!F32)</f>
        <v/>
      </c>
      <c r="F32" s="17">
        <f>IF(B32="","",IF(TRIM(E32)="还不错","种子-数学",IF(TRIM(D32)="完全没有","零基础",IF(TRIM(E32)="看到数字就头大","需帮扶","普通"))))</f>
        <v/>
      </c>
      <c r="G32" s="22" t="n"/>
      <c r="H32" s="15" t="n"/>
    </row>
    <row r="33">
      <c r="A33" s="15">
        <f>IF(学生档案!B33="","",学生档案!B33)</f>
        <v/>
      </c>
      <c r="B33" s="15">
        <f>IF(学生档案!C33="","",学生档案!C33)</f>
        <v/>
      </c>
      <c r="C33" s="15">
        <f>IF(学生档案!D33="","",学生档案!D33)</f>
        <v/>
      </c>
      <c r="D33" s="15">
        <f>IF(学生档案!E33="","",学生档案!E33)</f>
        <v/>
      </c>
      <c r="E33" s="15">
        <f>IF(学生档案!F33="","",学生档案!F33)</f>
        <v/>
      </c>
      <c r="F33" s="17">
        <f>IF(B33="","",IF(TRIM(E33)="还不错","种子-数学",IF(TRIM(D33)="完全没有","零基础",IF(TRIM(E33)="看到数字就头大","需帮扶","普通"))))</f>
        <v/>
      </c>
      <c r="G33" s="22" t="n"/>
      <c r="H33" s="15" t="n"/>
    </row>
    <row r="34">
      <c r="A34" s="15">
        <f>IF(学生档案!B34="","",学生档案!B34)</f>
        <v/>
      </c>
      <c r="B34" s="15">
        <f>IF(学生档案!C34="","",学生档案!C34)</f>
        <v/>
      </c>
      <c r="C34" s="15">
        <f>IF(学生档案!D34="","",学生档案!D34)</f>
        <v/>
      </c>
      <c r="D34" s="15">
        <f>IF(学生档案!E34="","",学生档案!E34)</f>
        <v/>
      </c>
      <c r="E34" s="15">
        <f>IF(学生档案!F34="","",学生档案!F34)</f>
        <v/>
      </c>
      <c r="F34" s="17">
        <f>IF(B34="","",IF(TRIM(E34)="还不错","种子-数学",IF(TRIM(D34)="完全没有","零基础",IF(TRIM(E34)="看到数字就头大","需帮扶","普通"))))</f>
        <v/>
      </c>
      <c r="G34" s="22" t="n"/>
      <c r="H34" s="15" t="n"/>
    </row>
    <row r="35">
      <c r="A35" s="15">
        <f>IF(学生档案!B35="","",学生档案!B35)</f>
        <v/>
      </c>
      <c r="B35" s="15">
        <f>IF(学生档案!C35="","",学生档案!C35)</f>
        <v/>
      </c>
      <c r="C35" s="15">
        <f>IF(学生档案!D35="","",学生档案!D35)</f>
        <v/>
      </c>
      <c r="D35" s="15">
        <f>IF(学生档案!E35="","",学生档案!E35)</f>
        <v/>
      </c>
      <c r="E35" s="15">
        <f>IF(学生档案!F35="","",学生档案!F35)</f>
        <v/>
      </c>
      <c r="F35" s="17">
        <f>IF(B35="","",IF(TRIM(E35)="还不错","种子-数学",IF(TRIM(D35)="完全没有","零基础",IF(TRIM(E35)="看到数字就头大","需帮扶","普通"))))</f>
        <v/>
      </c>
      <c r="G35" s="22" t="n"/>
      <c r="H35" s="15" t="n"/>
    </row>
    <row r="36">
      <c r="A36" s="15">
        <f>IF(学生档案!B36="","",学生档案!B36)</f>
        <v/>
      </c>
      <c r="B36" s="15">
        <f>IF(学生档案!C36="","",学生档案!C36)</f>
        <v/>
      </c>
      <c r="C36" s="15">
        <f>IF(学生档案!D36="","",学生档案!D36)</f>
        <v/>
      </c>
      <c r="D36" s="15">
        <f>IF(学生档案!E36="","",学生档案!E36)</f>
        <v/>
      </c>
      <c r="E36" s="15">
        <f>IF(学生档案!F36="","",学生档案!F36)</f>
        <v/>
      </c>
      <c r="F36" s="17">
        <f>IF(B36="","",IF(TRIM(E36)="还不错","种子-数学",IF(TRIM(D36)="完全没有","零基础",IF(TRIM(E36)="看到数字就头大","需帮扶","普通"))))</f>
        <v/>
      </c>
      <c r="G36" s="22" t="n"/>
      <c r="H36" s="15" t="n"/>
    </row>
    <row r="37">
      <c r="A37" s="15">
        <f>IF(学生档案!B37="","",学生档案!B37)</f>
        <v/>
      </c>
      <c r="B37" s="15">
        <f>IF(学生档案!C37="","",学生档案!C37)</f>
        <v/>
      </c>
      <c r="C37" s="15">
        <f>IF(学生档案!D37="","",学生档案!D37)</f>
        <v/>
      </c>
      <c r="D37" s="15">
        <f>IF(学生档案!E37="","",学生档案!E37)</f>
        <v/>
      </c>
      <c r="E37" s="15">
        <f>IF(学生档案!F37="","",学生档案!F37)</f>
        <v/>
      </c>
      <c r="F37" s="17">
        <f>IF(B37="","",IF(TRIM(E37)="还不错","种子-数学",IF(TRIM(D37)="完全没有","零基础",IF(TRIM(E37)="看到数字就头大","需帮扶","普通"))))</f>
        <v/>
      </c>
      <c r="G37" s="22" t="n"/>
      <c r="H37" s="15" t="n"/>
    </row>
    <row r="38">
      <c r="A38" s="15">
        <f>IF(学生档案!B38="","",学生档案!B38)</f>
        <v/>
      </c>
      <c r="B38" s="15">
        <f>IF(学生档案!C38="","",学生档案!C38)</f>
        <v/>
      </c>
      <c r="C38" s="15">
        <f>IF(学生档案!D38="","",学生档案!D38)</f>
        <v/>
      </c>
      <c r="D38" s="15">
        <f>IF(学生档案!E38="","",学生档案!E38)</f>
        <v/>
      </c>
      <c r="E38" s="15">
        <f>IF(学生档案!F38="","",学生档案!F38)</f>
        <v/>
      </c>
      <c r="F38" s="17">
        <f>IF(B38="","",IF(TRIM(E38)="还不错","种子-数学",IF(TRIM(D38)="完全没有","零基础",IF(TRIM(E38)="看到数字就头大","需帮扶","普通"))))</f>
        <v/>
      </c>
      <c r="G38" s="22" t="n"/>
      <c r="H38" s="15" t="n"/>
    </row>
    <row r="39">
      <c r="A39" s="15">
        <f>IF(学生档案!B39="","",学生档案!B39)</f>
        <v/>
      </c>
      <c r="B39" s="15">
        <f>IF(学生档案!C39="","",学生档案!C39)</f>
        <v/>
      </c>
      <c r="C39" s="15">
        <f>IF(学生档案!D39="","",学生档案!D39)</f>
        <v/>
      </c>
      <c r="D39" s="15">
        <f>IF(学生档案!E39="","",学生档案!E39)</f>
        <v/>
      </c>
      <c r="E39" s="15">
        <f>IF(学生档案!F39="","",学生档案!F39)</f>
        <v/>
      </c>
      <c r="F39" s="17">
        <f>IF(B39="","",IF(TRIM(E39)="还不错","种子-数学",IF(TRIM(D39)="完全没有","零基础",IF(TRIM(E39)="看到数字就头大","需帮扶","普通"))))</f>
        <v/>
      </c>
      <c r="G39" s="22" t="n"/>
      <c r="H39" s="15" t="n"/>
    </row>
    <row r="40">
      <c r="A40" s="15">
        <f>IF(学生档案!B40="","",学生档案!B40)</f>
        <v/>
      </c>
      <c r="B40" s="15">
        <f>IF(学生档案!C40="","",学生档案!C40)</f>
        <v/>
      </c>
      <c r="C40" s="15">
        <f>IF(学生档案!D40="","",学生档案!D40)</f>
        <v/>
      </c>
      <c r="D40" s="15">
        <f>IF(学生档案!E40="","",学生档案!E40)</f>
        <v/>
      </c>
      <c r="E40" s="15">
        <f>IF(学生档案!F40="","",学生档案!F40)</f>
        <v/>
      </c>
      <c r="F40" s="17">
        <f>IF(B40="","",IF(TRIM(E40)="还不错","种子-数学",IF(TRIM(D40)="完全没有","零基础",IF(TRIM(E40)="看到数字就头大","需帮扶","普通"))))</f>
        <v/>
      </c>
      <c r="G40" s="22" t="n"/>
      <c r="H40" s="15" t="n"/>
    </row>
    <row r="41">
      <c r="A41" s="15">
        <f>IF(学生档案!B41="","",学生档案!B41)</f>
        <v/>
      </c>
      <c r="B41" s="15">
        <f>IF(学生档案!C41="","",学生档案!C41)</f>
        <v/>
      </c>
      <c r="C41" s="15">
        <f>IF(学生档案!D41="","",学生档案!D41)</f>
        <v/>
      </c>
      <c r="D41" s="15">
        <f>IF(学生档案!E41="","",学生档案!E41)</f>
        <v/>
      </c>
      <c r="E41" s="15">
        <f>IF(学生档案!F41="","",学生档案!F41)</f>
        <v/>
      </c>
      <c r="F41" s="17">
        <f>IF(B41="","",IF(TRIM(E41)="还不错","种子-数学",IF(TRIM(D41)="完全没有","零基础",IF(TRIM(E41)="看到数字就头大","需帮扶","普通"))))</f>
        <v/>
      </c>
      <c r="G41" s="22" t="n"/>
      <c r="H41" s="15" t="n"/>
    </row>
    <row r="42">
      <c r="A42" s="15">
        <f>IF(学生档案!B42="","",学生档案!B42)</f>
        <v/>
      </c>
      <c r="B42" s="15">
        <f>IF(学生档案!C42="","",学生档案!C42)</f>
        <v/>
      </c>
      <c r="C42" s="15">
        <f>IF(学生档案!D42="","",学生档案!D42)</f>
        <v/>
      </c>
      <c r="D42" s="15">
        <f>IF(学生档案!E42="","",学生档案!E42)</f>
        <v/>
      </c>
      <c r="E42" s="15">
        <f>IF(学生档案!F42="","",学生档案!F42)</f>
        <v/>
      </c>
      <c r="F42" s="17">
        <f>IF(B42="","",IF(TRIM(E42)="还不错","种子-数学",IF(TRIM(D42)="完全没有","零基础",IF(TRIM(E42)="看到数字就头大","需帮扶","普通"))))</f>
        <v/>
      </c>
      <c r="G42" s="22" t="n"/>
      <c r="H42" s="15" t="n"/>
    </row>
    <row r="43">
      <c r="A43" s="15">
        <f>IF(学生档案!B43="","",学生档案!B43)</f>
        <v/>
      </c>
      <c r="B43" s="15">
        <f>IF(学生档案!C43="","",学生档案!C43)</f>
        <v/>
      </c>
      <c r="C43" s="15">
        <f>IF(学生档案!D43="","",学生档案!D43)</f>
        <v/>
      </c>
      <c r="D43" s="15">
        <f>IF(学生档案!E43="","",学生档案!E43)</f>
        <v/>
      </c>
      <c r="E43" s="15">
        <f>IF(学生档案!F43="","",学生档案!F43)</f>
        <v/>
      </c>
      <c r="F43" s="17">
        <f>IF(B43="","",IF(TRIM(E43)="还不错","种子-数学",IF(TRIM(D43)="完全没有","零基础",IF(TRIM(E43)="看到数字就头大","需帮扶","普通"))))</f>
        <v/>
      </c>
      <c r="G43" s="22" t="n"/>
      <c r="H43" s="15" t="n"/>
    </row>
    <row r="44">
      <c r="A44" s="15">
        <f>IF(学生档案!B44="","",学生档案!B44)</f>
        <v/>
      </c>
      <c r="B44" s="15">
        <f>IF(学生档案!C44="","",学生档案!C44)</f>
        <v/>
      </c>
      <c r="C44" s="15">
        <f>IF(学生档案!D44="","",学生档案!D44)</f>
        <v/>
      </c>
      <c r="D44" s="15">
        <f>IF(学生档案!E44="","",学生档案!E44)</f>
        <v/>
      </c>
      <c r="E44" s="15">
        <f>IF(学生档案!F44="","",学生档案!F44)</f>
        <v/>
      </c>
      <c r="F44" s="17">
        <f>IF(B44="","",IF(TRIM(E44)="还不错","种子-数学",IF(TRIM(D44)="完全没有","零基础",IF(TRIM(E44)="看到数字就头大","需帮扶","普通"))))</f>
        <v/>
      </c>
      <c r="G44" s="22" t="n"/>
      <c r="H44" s="15" t="n"/>
    </row>
    <row r="45">
      <c r="A45" s="15">
        <f>IF(学生档案!B45="","",学生档案!B45)</f>
        <v/>
      </c>
      <c r="B45" s="15">
        <f>IF(学生档案!C45="","",学生档案!C45)</f>
        <v/>
      </c>
      <c r="C45" s="15">
        <f>IF(学生档案!D45="","",学生档案!D45)</f>
        <v/>
      </c>
      <c r="D45" s="15">
        <f>IF(学生档案!E45="","",学生档案!E45)</f>
        <v/>
      </c>
      <c r="E45" s="15">
        <f>IF(学生档案!F45="","",学生档案!F45)</f>
        <v/>
      </c>
      <c r="F45" s="17">
        <f>IF(B45="","",IF(TRIM(E45)="还不错","种子-数学",IF(TRIM(D45)="完全没有","零基础",IF(TRIM(E45)="看到数字就头大","需帮扶","普通"))))</f>
        <v/>
      </c>
      <c r="G45" s="22" t="n"/>
      <c r="H45" s="15" t="n"/>
    </row>
    <row r="46">
      <c r="A46" s="15">
        <f>IF(学生档案!B46="","",学生档案!B46)</f>
        <v/>
      </c>
      <c r="B46" s="15">
        <f>IF(学生档案!C46="","",学生档案!C46)</f>
        <v/>
      </c>
      <c r="C46" s="15">
        <f>IF(学生档案!D46="","",学生档案!D46)</f>
        <v/>
      </c>
      <c r="D46" s="15">
        <f>IF(学生档案!E46="","",学生档案!E46)</f>
        <v/>
      </c>
      <c r="E46" s="15">
        <f>IF(学生档案!F46="","",学生档案!F46)</f>
        <v/>
      </c>
      <c r="F46" s="17">
        <f>IF(B46="","",IF(TRIM(E46)="还不错","种子-数学",IF(TRIM(D46)="完全没有","零基础",IF(TRIM(E46)="看到数字就头大","需帮扶","普通"))))</f>
        <v/>
      </c>
      <c r="G46" s="22" t="n"/>
      <c r="H46" s="15" t="n"/>
    </row>
    <row r="47">
      <c r="A47" s="15">
        <f>IF(学生档案!B47="","",学生档案!B47)</f>
        <v/>
      </c>
      <c r="B47" s="15">
        <f>IF(学生档案!C47="","",学生档案!C47)</f>
        <v/>
      </c>
      <c r="C47" s="15">
        <f>IF(学生档案!D47="","",学生档案!D47)</f>
        <v/>
      </c>
      <c r="D47" s="15">
        <f>IF(学生档案!E47="","",学生档案!E47)</f>
        <v/>
      </c>
      <c r="E47" s="15">
        <f>IF(学生档案!F47="","",学生档案!F47)</f>
        <v/>
      </c>
      <c r="F47" s="17">
        <f>IF(B47="","",IF(TRIM(E47)="还不错","种子-数学",IF(TRIM(D47)="完全没有","零基础",IF(TRIM(E47)="看到数字就头大","需帮扶","普通"))))</f>
        <v/>
      </c>
      <c r="G47" s="22" t="n"/>
      <c r="H47" s="15" t="n"/>
    </row>
    <row r="48">
      <c r="A48" s="15">
        <f>IF(学生档案!B48="","",学生档案!B48)</f>
        <v/>
      </c>
      <c r="B48" s="15">
        <f>IF(学生档案!C48="","",学生档案!C48)</f>
        <v/>
      </c>
      <c r="C48" s="15">
        <f>IF(学生档案!D48="","",学生档案!D48)</f>
        <v/>
      </c>
      <c r="D48" s="15">
        <f>IF(学生档案!E48="","",学生档案!E48)</f>
        <v/>
      </c>
      <c r="E48" s="15">
        <f>IF(学生档案!F48="","",学生档案!F48)</f>
        <v/>
      </c>
      <c r="F48" s="17">
        <f>IF(B48="","",IF(TRIM(E48)="还不错","种子-数学",IF(TRIM(D48)="完全没有","零基础",IF(TRIM(E48)="看到数字就头大","需帮扶","普通"))))</f>
        <v/>
      </c>
      <c r="G48" s="22" t="n"/>
      <c r="H48" s="15" t="n"/>
    </row>
    <row r="49">
      <c r="A49" s="15">
        <f>IF(学生档案!B49="","",学生档案!B49)</f>
        <v/>
      </c>
      <c r="B49" s="15">
        <f>IF(学生档案!C49="","",学生档案!C49)</f>
        <v/>
      </c>
      <c r="C49" s="15">
        <f>IF(学生档案!D49="","",学生档案!D49)</f>
        <v/>
      </c>
      <c r="D49" s="15">
        <f>IF(学生档案!E49="","",学生档案!E49)</f>
        <v/>
      </c>
      <c r="E49" s="15">
        <f>IF(学生档案!F49="","",学生档案!F49)</f>
        <v/>
      </c>
      <c r="F49" s="17">
        <f>IF(B49="","",IF(TRIM(E49)="还不错","种子-数学",IF(TRIM(D49)="完全没有","零基础",IF(TRIM(E49)="看到数字就头大","需帮扶","普通"))))</f>
        <v/>
      </c>
      <c r="G49" s="22" t="n"/>
      <c r="H49" s="15" t="n"/>
    </row>
    <row r="50">
      <c r="A50" s="15">
        <f>IF(学生档案!B50="","",学生档案!B50)</f>
        <v/>
      </c>
      <c r="B50" s="15">
        <f>IF(学生档案!C50="","",学生档案!C50)</f>
        <v/>
      </c>
      <c r="C50" s="15">
        <f>IF(学生档案!D50="","",学生档案!D50)</f>
        <v/>
      </c>
      <c r="D50" s="15">
        <f>IF(学生档案!E50="","",学生档案!E50)</f>
        <v/>
      </c>
      <c r="E50" s="15">
        <f>IF(学生档案!F50="","",学生档案!F50)</f>
        <v/>
      </c>
      <c r="F50" s="17">
        <f>IF(B50="","",IF(TRIM(E50)="还不错","种子-数学",IF(TRIM(D50)="完全没有","零基础",IF(TRIM(E50)="看到数字就头大","需帮扶","普通"))))</f>
        <v/>
      </c>
      <c r="G50" s="22" t="n"/>
      <c r="H50" s="15" t="n"/>
    </row>
    <row r="51">
      <c r="A51" s="15">
        <f>IF(学生档案!B51="","",学生档案!B51)</f>
        <v/>
      </c>
      <c r="B51" s="15">
        <f>IF(学生档案!C51="","",学生档案!C51)</f>
        <v/>
      </c>
      <c r="C51" s="15">
        <f>IF(学生档案!D51="","",学生档案!D51)</f>
        <v/>
      </c>
      <c r="D51" s="15">
        <f>IF(学生档案!E51="","",学生档案!E51)</f>
        <v/>
      </c>
      <c r="E51" s="15">
        <f>IF(学生档案!F51="","",学生档案!F51)</f>
        <v/>
      </c>
      <c r="F51" s="17">
        <f>IF(B51="","",IF(TRIM(E51)="还不错","种子-数学",IF(TRIM(D51)="完全没有","零基础",IF(TRIM(E51)="看到数字就头大","需帮扶","普通"))))</f>
        <v/>
      </c>
      <c r="G51" s="22" t="n"/>
      <c r="H51" s="15" t="n"/>
    </row>
    <row r="52">
      <c r="A52" s="15">
        <f>IF(学生档案!B52="","",学生档案!B52)</f>
        <v/>
      </c>
      <c r="B52" s="15">
        <f>IF(学生档案!C52="","",学生档案!C52)</f>
        <v/>
      </c>
      <c r="C52" s="15">
        <f>IF(学生档案!D52="","",学生档案!D52)</f>
        <v/>
      </c>
      <c r="D52" s="15">
        <f>IF(学生档案!E52="","",学生档案!E52)</f>
        <v/>
      </c>
      <c r="E52" s="15">
        <f>IF(学生档案!F52="","",学生档案!F52)</f>
        <v/>
      </c>
      <c r="F52" s="17">
        <f>IF(B52="","",IF(TRIM(E52)="还不错","种子-数学",IF(TRIM(D52)="完全没有","零基础",IF(TRIM(E52)="看到数字就头大","需帮扶","普通"))))</f>
        <v/>
      </c>
      <c r="G52" s="22" t="n"/>
      <c r="H52" s="15" t="n"/>
    </row>
    <row r="54" ht="22" customHeight="1">
      <c r="A54" s="57" t="inlineStr">
        <is>
          <t>你具体做什么（贴完学生档案之后）</t>
        </is>
      </c>
    </row>
    <row r="55" ht="36" customHeight="1">
      <c r="A55" s="58" t="inlineStr">
        <is>
          <t>第 0 步　现在先别动。问卷还没收回来，左边空着是正常的。收回来并贴进「学生档案」之后，这张表左边会自动出现全班名单，F 列自动打标签。</t>
        </is>
      </c>
    </row>
    <row r="56" ht="36" customHeight="1">
      <c r="A56" s="58" t="inlineStr">
        <is>
          <t>第 1 步　只看 F 列（紫色，自动的）。四种标签：种子-数学＝第2题选了「还不错」；零基础＝第1题选了「完全没有」；需帮扶＝第2题选了「看到数字就头大」；普通＝其他人。</t>
        </is>
      </c>
    </row>
    <row r="57" ht="36" customHeight="1">
      <c r="A57" s="58" t="inlineStr">
        <is>
          <t>第 2 步　只填 G 列。点蓝色格子，下拉选出纳组 / 记账组 / 成本组 / 审核组 / 仓管组 / 报表组。先筛「种子-数学」，6 个人分别放进 6 个组（一人一组）。</t>
        </is>
      </c>
    </row>
    <row r="58" ht="36" customHeight="1">
      <c r="A58" s="58" t="inlineStr">
        <is>
          <t>第 3 步　再筛「零基础」，也是 6 个组每个组放 1 个。然后「需帮扶」尽量跟种子同一组（种子能带）。剩下的人往人数少的组填。同宿舍能分一起就一起，不要为了同宿舍把种子拆走。</t>
        </is>
      </c>
    </row>
    <row r="59" ht="36" customHeight="1">
      <c r="A59" s="58" t="inlineStr">
        <is>
          <t>第 4 步　看右边人数表。人数差不要超过 2；「种子」列不能是 0；「零基础」列不能是 0。哪组是 0，把人调一下。</t>
        </is>
      </c>
    </row>
    <row r="60" ht="36" customHeight="1">
      <c r="A60" s="58" t="inlineStr">
        <is>
          <t>第 5 步　打印 90-C10 岗位桌签，上课放到对应桌上。跟学生只说：你们这组今天是出纳组。不要说「种子」「零基础」「标签」。</t>
        </is>
      </c>
    </row>
    <row r="61" ht="36" customHeight="1">
      <c r="A61" s="58" t="inlineStr">
        <is>
          <t>分组只用在三件事：打地鼠按组上台；填凭证组内互审（制单和审核不能同一人）；静默十五分四人讨论。举册子、点名加分是个人的，不要为了分组而分组。每个项目结束可以把桌签轮换（出纳这周当审核），别让人整个学期都是仓管。</t>
        </is>
      </c>
    </row>
    <row r="63" ht="22" customHeight="1">
      <c r="A63" s="57" t="inlineStr">
        <is>
          <t>举个假人例子（只演示怎么填 G 列，不是你班上的人）</t>
        </is>
      </c>
    </row>
    <row r="64" ht="28" customHeight="1">
      <c r="A64" s="59" t="inlineStr">
        <is>
          <t>假设 F 列打出：王磊＝种子-数学，陈静＝种子-数学，刘洋＝零基础，赵敏＝零基础，周杰＝需帮扶，孙丽＝普通（和王磊同宿舍）。</t>
        </is>
      </c>
    </row>
    <row r="65" ht="28" customHeight="1">
      <c r="A65" s="59" t="inlineStr">
        <is>
          <t>G 列这样填：王磊 → 出纳组；陈静 → 记账组。（两个种子先拆开）</t>
        </is>
      </c>
    </row>
    <row r="66" ht="28" customHeight="1">
      <c r="A66" s="59" t="inlineStr">
        <is>
          <t>刘洋 → 出纳组（和王磊一组，种子带零基础）；赵敏 → 记账组（和陈静一组）。</t>
        </is>
      </c>
    </row>
    <row r="67" ht="28" customHeight="1">
      <c r="A67" s="59" t="inlineStr">
        <is>
          <t>周杰 → 出纳组（需帮扶跟着种子）；孙丽 → 出纳组（同宿舍加分项，不是必须）。</t>
        </is>
      </c>
    </row>
    <row r="68" ht="28" customHeight="1">
      <c r="A68" s="59" t="inlineStr">
        <is>
          <t>然后看右边：出纳组人数 4、种子 1、零基础 1；记账组人数 2、种子 1、零基础 1。记账组人少，把后面的「普通」往记账组填即可。这样就算分好了。</t>
        </is>
      </c>
    </row>
    <row r="70" ht="22" customHeight="1">
      <c r="A70" s="57" t="inlineStr">
        <is>
          <t>分组原则（写在这里免得忘）</t>
        </is>
      </c>
    </row>
    <row r="71" ht="28" customHeight="1">
      <c r="A71" s="59" t="inlineStr">
        <is>
          <t>1. 6 个岗位组，桌签每节课放桌上：出纳 / 记账 / 成本 / 审核 / 仓管 / 报表。组名是岗位，不是宿舍号。</t>
        </is>
      </c>
    </row>
    <row r="72" ht="28" customHeight="1">
      <c r="A72" s="59" t="inlineStr">
        <is>
          <t>2. 每组必须有 1 个「种子-数学」和 1 个「零基础」。整宿舍切组禁止——差的宿舍会整组不会。</t>
        </is>
      </c>
    </row>
    <row r="73" ht="28" customHeight="1">
      <c r="A73" s="59" t="inlineStr">
        <is>
          <t>3. 同宿舍只是加分项：两人已经在一组且同宿舍，很好；不要为了同宿舍拆开种子。</t>
        </is>
      </c>
    </row>
    <row r="74" ht="28" customHeight="1">
      <c r="A74" s="59" t="inlineStr">
        <is>
          <t>4. 不是每项活动都分组。举册子、点名加分是个人的。</t>
        </is>
      </c>
    </row>
    <row r="75" ht="28" customHeight="1">
      <c r="A75" s="59" t="inlineStr">
        <is>
          <t>5. 每个项目结束可以轮换桌签，岗位轮一遍。</t>
        </is>
      </c>
    </row>
    <row r="77" ht="22" customHeight="1">
      <c r="A77" s="57" t="inlineStr">
        <is>
          <t>标签现在没有，正常；不要让学委分组；出纳组说一句就行</t>
        </is>
      </c>
    </row>
    <row r="78" ht="40" customHeight="1">
      <c r="A78" s="58" t="inlineStr">
        <is>
          <t>F 列标签从哪来：贴进「学生档案」之后，按第1题（以前接触过会计吗）和第2题（数学怎么样）自动打。学期一开始、问卷还没收回来时，F 列是空的。不是学委评的，也不是你手写的。</t>
        </is>
      </c>
    </row>
    <row r="79" ht="40" customHeight="1">
      <c r="A79" s="58" t="inlineStr">
        <is>
          <t>不要让学委分组。学委熟的是谁跟谁玩得好，不是谁数学还行、谁零基础。按熟人切，差的会扎堆。学委只可以帮你看宿舍号写得对不对。</t>
        </is>
      </c>
    </row>
    <row r="80" ht="40" customHeight="1">
      <c r="A80" s="58" t="inlineStr">
        <is>
          <t>出纳组不用专门讲。桌签上已有「管钱的。库存现金、银行存款从这组过。」上课说：你们这组叫出纳组，管钱的，以后填收付款从你们这过。现在先坐一起。记账组、审核组同理，桌签上各有一行。</t>
        </is>
      </c>
    </row>
  </sheetData>
  <mergeCells count="26">
    <mergeCell ref="A67:H67"/>
    <mergeCell ref="A77:H77"/>
    <mergeCell ref="A59:H59"/>
    <mergeCell ref="A73:H73"/>
    <mergeCell ref="A64:H64"/>
    <mergeCell ref="A60:H60"/>
    <mergeCell ref="A79:H79"/>
    <mergeCell ref="A61:H61"/>
    <mergeCell ref="A70:H70"/>
    <mergeCell ref="A78:H78"/>
    <mergeCell ref="A65:H65"/>
    <mergeCell ref="A54:H54"/>
    <mergeCell ref="A66:H66"/>
    <mergeCell ref="A80:H80"/>
    <mergeCell ref="A75:H75"/>
    <mergeCell ref="A74:H74"/>
    <mergeCell ref="J10:M10"/>
    <mergeCell ref="A56:H56"/>
    <mergeCell ref="A1:M1"/>
    <mergeCell ref="A55:H55"/>
    <mergeCell ref="A57:H57"/>
    <mergeCell ref="A71:H71"/>
    <mergeCell ref="A63:H63"/>
    <mergeCell ref="A72:H72"/>
    <mergeCell ref="A68:H68"/>
    <mergeCell ref="A58:H58"/>
  </mergeCells>
  <dataValidations count="1">
    <dataValidation sqref="G3:G52" showDropDown="0" showInputMessage="0" showErrorMessage="0" allowBlank="1" errorTitle="请用下拉" error="请从下拉列表里选，不要自己改字" type="list">
      <formula1>选项库!$J$3:$J$8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527A0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6" customWidth="1" min="2" max="2"/>
    <col width="44" customWidth="1" min="3" max="3"/>
    <col width="58" customWidth="1" min="4" max="4"/>
  </cols>
  <sheetData>
    <row r="1" ht="26" customHeight="1">
      <c r="A1" s="60" t="inlineStr">
        <is>
          <t>紫色 T_ 列怎么用　——　现在没有图片，也没有分数</t>
        </is>
      </c>
    </row>
    <row r="2" ht="40" customHeight="1">
      <c r="A2" s="61" t="inlineStr">
        <is>
          <t>企业微信导出里不会、也不该出现这几列。你把学生填的题贴进左边（班级到签名），右边紫色格子自己会亮。亮出来的「2401006.png」不是文件，是以后存图片用的名字；亮出来的 0 分不是坏了，是还没上课。</t>
        </is>
      </c>
      <c r="B2" s="46" t="n"/>
      <c r="C2" s="46" t="n"/>
      <c r="D2" s="47" t="n"/>
    </row>
    <row r="3" ht="22" customHeight="1">
      <c r="A3" s="62" t="inlineStr">
        <is>
          <t>列名</t>
        </is>
      </c>
      <c r="B3" s="62" t="inlineStr">
        <is>
          <t>谁填</t>
        </is>
      </c>
      <c r="C3" s="62" t="inlineStr">
        <is>
          <t>格子里会出现什么</t>
        </is>
      </c>
      <c r="D3" s="62" t="inlineStr">
        <is>
          <t>你要做什么</t>
        </is>
      </c>
    </row>
    <row r="4" ht="72" customHeight="1">
      <c r="A4" s="63" t="inlineStr">
        <is>
          <t>T_卡通形象文件名</t>
        </is>
      </c>
      <c r="B4" s="64" t="inlineStr">
        <is>
          <t>公式，不用填</t>
        </is>
      </c>
      <c r="C4" s="64" t="inlineStr">
        <is>
          <t>学号 2401006 → 格子里写出 2401006.png。电脑里没有这个文件。</t>
        </is>
      </c>
      <c r="D4" s="64" t="inlineStr">
        <is>
          <t>现在什么都不用做。以后真的开始画卡通头像了，在电脑里建一个文件夹（比如「会计课卡通头像」），保存时文件名就用这一格的字。第18题选「不要用我的照片」的人，可以不画他的脸，这一格空着或改个不含照片的名字就行。</t>
        </is>
      </c>
    </row>
    <row r="5" ht="72" customHeight="1">
      <c r="A5" s="63" t="inlineStr">
        <is>
          <t>T_累计积分</t>
        </is>
      </c>
      <c r="B5" s="64" t="inlineStr">
        <is>
          <t>公式，不用填</t>
        </is>
      </c>
      <c r="C5" s="64" t="inlineStr">
        <is>
          <t>从「每周积分」按学号把各周加总。现在是 0。</t>
        </is>
      </c>
      <c r="D5" s="64" t="inlineStr">
        <is>
          <t>你不用填这一列。你要做的是每周往「每周积分」贴一次本周分数（见「怎么用」第二节）。贴了，这里才会涨。评奖、换免点名卡看它。</t>
        </is>
      </c>
    </row>
    <row r="6" ht="72" customHeight="1">
      <c r="A6" s="63" t="inlineStr">
        <is>
          <t>T_当前等级</t>
        </is>
      </c>
      <c r="B6" s="64" t="inlineStr">
        <is>
          <t>公式，不用填</t>
        </is>
      </c>
      <c r="C6" s="64" t="inlineStr">
        <is>
          <t>按累计分：15 出纳 / 30 记账 / 50 主管 / 80 CFO。现在是实习生。</t>
        </is>
      </c>
      <c r="D6" s="64" t="inlineStr">
        <is>
          <t>不用管。以后漫画换装才用。分不够就一直是实习生。</t>
        </is>
      </c>
    </row>
    <row r="7" ht="72" customHeight="1">
      <c r="A7" s="63" t="inlineStr">
        <is>
          <t>T_红线_形象</t>
        </is>
      </c>
      <c r="B7" s="64" t="inlineStr">
        <is>
          <t>公式，不用填</t>
        </is>
      </c>
      <c r="C7" s="64" t="inlineStr">
        <is>
          <t>读第18题。选「不要用我的照片」或「只给我自己看」→ ★形象不可公开。</t>
        </is>
      </c>
      <c r="D7" s="64" t="inlineStr">
        <is>
          <t>每周要画人上投影之前扫一眼。带星号的换人。不是企业微信的题。</t>
        </is>
      </c>
    </row>
    <row r="8" ht="72" customHeight="1">
      <c r="A8" s="63" t="inlineStr">
        <is>
          <t>T_备注</t>
        </is>
      </c>
      <c r="B8" s="64" t="inlineStr">
        <is>
          <t>你手写</t>
        </is>
      </c>
      <c r="C8" s="64" t="inlineStr">
        <is>
          <t>空的，等你写。</t>
        </is>
      </c>
      <c r="D8" s="64" t="inlineStr">
        <is>
          <t>班长、人缘好（第一次惩罚找他）、缺课、特殊情况。</t>
        </is>
      </c>
    </row>
    <row r="10" ht="22" customHeight="1">
      <c r="A10" s="65" t="inlineStr">
        <is>
          <t>举个完整例子（人是假的）</t>
        </is>
      </c>
    </row>
    <row r="11" ht="32" customHeight="1">
      <c r="A11" s="3" t="inlineStr">
        <is>
          <t>企业微信收回来：学号 2401006，姓名 刘思远，第18题「不要用我的照片」，第16题「这次先不参加」。</t>
        </is>
      </c>
    </row>
    <row r="12" ht="32" customHeight="1">
      <c r="A12" s="3" t="inlineStr">
        <is>
          <t>你只把学号、姓名、第16题、第18题等学生填的列贴进「学生档案」。不要贴紫色列。</t>
        </is>
      </c>
    </row>
    <row r="13" ht="32" customHeight="1">
      <c r="A13" s="3" t="inlineStr">
        <is>
          <t>贴完以后这一行紫色格子自己变成：文件名 2401006.png（现在仍然没有这张图）；红线 ★形象不可公开；积分 0（还没上课）。</t>
        </is>
      </c>
    </row>
    <row r="14" ht="32" customHeight="1">
      <c r="A14" s="3" t="inlineStr">
        <is>
          <t>以后每周出镜、项目结束合照，看到星号就跳过他。积分该加还加，换免点名卡不受影响。电脑里依然没有 2401006.png，除非你后来真的画了一张。</t>
        </is>
      </c>
    </row>
    <row r="15" ht="32" customHeight="1">
      <c r="A15" s="3" t="inlineStr">
        <is>
          <t>所以：企业微信负责「学生说了什么」；紫色列负责「老师据此自动判断什么」。两套东西，靠学号这一列焊在一起。</t>
        </is>
      </c>
    </row>
  </sheetData>
  <mergeCells count="8">
    <mergeCell ref="A1:D1"/>
    <mergeCell ref="A12:D12"/>
    <mergeCell ref="A15:D15"/>
    <mergeCell ref="A2:D2"/>
    <mergeCell ref="A11:D11"/>
    <mergeCell ref="A10:D10"/>
    <mergeCell ref="A13:D13"/>
    <mergeCell ref="A14:D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8909C"/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42" t="inlineStr">
        <is>
          <t>下拉选项库（不要改文字）</t>
        </is>
      </c>
    </row>
    <row r="2">
      <c r="A2" s="43" t="inlineStr">
        <is>
          <t>1_以前接触过会计吗</t>
        </is>
      </c>
      <c r="B2" s="43" t="inlineStr">
        <is>
          <t>2_自己数学怎么样</t>
        </is>
      </c>
      <c r="C2" s="43" t="inlineStr">
        <is>
          <t>3_希望这门课怎么上</t>
        </is>
      </c>
      <c r="D2" s="43" t="inlineStr">
        <is>
          <t>5_上课最想看到哪个动画</t>
        </is>
      </c>
      <c r="E2" s="43" t="inlineStr">
        <is>
          <t>16_想不想和喜欢的卡通同框</t>
        </is>
      </c>
      <c r="F2" s="43" t="inlineStr">
        <is>
          <t>18_能用你的照片画卡通吗</t>
        </is>
      </c>
      <c r="G2" s="43" t="inlineStr">
        <is>
          <t>19_什么奖励对你有用</t>
        </is>
      </c>
      <c r="H2" s="43" t="inlineStr">
        <is>
          <t>20_哪种惩罚你能接受还觉得好玩</t>
        </is>
      </c>
      <c r="I2" s="43" t="inlineStr">
        <is>
          <t>作业分档</t>
        </is>
      </c>
      <c r="J2" s="43" t="inlineStr">
        <is>
          <t>岗位组</t>
        </is>
      </c>
    </row>
    <row r="3">
      <c r="A3" s="44" t="inlineStr">
        <is>
          <t>完全没有</t>
        </is>
      </c>
      <c r="B3" s="44" t="inlineStr">
        <is>
          <t>还不错</t>
        </is>
      </c>
      <c r="C3" s="44" t="inlineStr">
        <is>
          <t>多做游戏比赛</t>
        </is>
      </c>
      <c r="D3" s="44" t="inlineStr">
        <is>
          <t>蜡笔小新</t>
        </is>
      </c>
      <c r="E3" s="44" t="inlineStr">
        <is>
          <t>想，和我喜欢的角色同框</t>
        </is>
      </c>
      <c r="F3" s="44" t="inlineStr">
        <is>
          <t>随便用</t>
        </is>
      </c>
      <c r="G3" s="44" t="inlineStr">
        <is>
          <t>画进上课漫画</t>
        </is>
      </c>
      <c r="H3" s="44" t="inlineStr">
        <is>
          <t>做成搞笑表情包</t>
        </is>
      </c>
      <c r="I3" t="inlineStr">
        <is>
          <t>0</t>
        </is>
      </c>
      <c r="J3" t="inlineStr">
        <is>
          <t>出纳组</t>
        </is>
      </c>
    </row>
    <row r="4">
      <c r="A4" s="44" t="inlineStr">
        <is>
          <t>听说过没学过</t>
        </is>
      </c>
      <c r="B4" s="44" t="inlineStr">
        <is>
          <t>一般</t>
        </is>
      </c>
      <c r="C4" s="44" t="inlineStr">
        <is>
          <t>多讲实际案例</t>
        </is>
      </c>
      <c r="D4" s="44" t="inlineStr">
        <is>
          <t>哆啦A梦</t>
        </is>
      </c>
      <c r="E4" s="44" t="inlineStr">
        <is>
          <t>可以试试</t>
        </is>
      </c>
      <c r="F4" s="44" t="inlineStr">
        <is>
          <t>可以但别画太丑</t>
        </is>
      </c>
      <c r="G4" s="44" t="inlineStr">
        <is>
          <t>卡通形象升级</t>
        </is>
      </c>
      <c r="H4" s="44" t="inlineStr">
        <is>
          <t>上台讲一道题</t>
        </is>
      </c>
      <c r="I4" t="inlineStr">
        <is>
          <t>2</t>
        </is>
      </c>
      <c r="J4" t="inlineStr">
        <is>
          <t>记账组</t>
        </is>
      </c>
    </row>
    <row r="5">
      <c r="A5" s="44" t="inlineStr">
        <is>
          <t>家里有人做会计</t>
        </is>
      </c>
      <c r="B5" s="44" t="inlineStr">
        <is>
          <t>比较吃力</t>
        </is>
      </c>
      <c r="C5" s="44" t="inlineStr">
        <is>
          <t>多动手实训</t>
        </is>
      </c>
      <c r="D5" s="44" t="inlineStr">
        <is>
          <t>喜羊羊与灰太狼</t>
        </is>
      </c>
      <c r="E5" s="44" t="inlineStr">
        <is>
          <t>先看别人的，先别画我</t>
        </is>
      </c>
      <c r="F5" s="44" t="inlineStr">
        <is>
          <t>只给我自己看</t>
        </is>
      </c>
      <c r="G5" s="44" t="inlineStr">
        <is>
          <t>加平时分</t>
        </is>
      </c>
      <c r="H5" s="44" t="inlineStr">
        <is>
          <t>帮同学讲懂一道题</t>
        </is>
      </c>
      <c r="I5" t="inlineStr">
        <is>
          <t>5</t>
        </is>
      </c>
      <c r="J5" t="inlineStr">
        <is>
          <t>成本组</t>
        </is>
      </c>
    </row>
    <row r="6">
      <c r="A6" s="44" t="inlineStr">
        <is>
          <t>自己学过一点</t>
        </is>
      </c>
      <c r="B6" s="44" t="inlineStr">
        <is>
          <t>看到数字就头大</t>
        </is>
      </c>
      <c r="C6" s="44" t="inlineStr">
        <is>
          <t>讲慢一点细一点</t>
        </is>
      </c>
      <c r="E6" s="44" t="inlineStr">
        <is>
          <t>这次先不参加</t>
        </is>
      </c>
      <c r="F6" s="44" t="inlineStr">
        <is>
          <t>不要用我的照片</t>
        </is>
      </c>
      <c r="G6" s="44" t="inlineStr">
        <is>
          <t>免一次作业</t>
        </is>
      </c>
      <c r="H6" s="44" t="inlineStr">
        <is>
          <t>表演才艺30秒</t>
        </is>
      </c>
      <c r="J6" t="inlineStr">
        <is>
          <t>审核组</t>
        </is>
      </c>
    </row>
    <row r="7">
      <c r="C7" s="44" t="inlineStr">
        <is>
          <t>多用视频动画</t>
        </is>
      </c>
      <c r="G7" s="44" t="inlineStr">
        <is>
          <t>全班表扬</t>
        </is>
      </c>
      <c r="H7" s="44" t="inlineStr">
        <is>
          <t>罚做一道题</t>
        </is>
      </c>
      <c r="J7" t="inlineStr">
        <is>
          <t>仓管组</t>
        </is>
      </c>
    </row>
    <row r="8">
      <c r="C8" s="44" t="inlineStr">
        <is>
          <t>多小组讨论</t>
        </is>
      </c>
      <c r="G8" s="44" t="inlineStr">
        <is>
          <t>小零食</t>
        </is>
      </c>
      <c r="J8" t="inlineStr">
        <is>
          <t>报表组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2026-08-20T11:07:11Z</dcterms:created>
  <dcterms:modified xmlns:dcterms="http://purl.org/dc/terms/" xmlns:xsi="http://www.w3.org/2001/XMLSchema-instance" xsi:type="dcterms:W3CDTF">2026-08-20T17:05:37Z</dcterms:modified>
</cp:coreProperties>
</file>