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每周积分" sheetId="3" state="visible" r:id="rId3"/>
    <sheet xmlns:r="http://schemas.openxmlformats.org/officeDocument/2006/relationships" name="本周计算器" sheetId="4" state="visible" r:id="rId4"/>
    <sheet xmlns:r="http://schemas.openxmlformats.org/officeDocument/2006/relationships" name="本周之星" sheetId="5" state="visible" r:id="rId5"/>
    <sheet xmlns:r="http://schemas.openxmlformats.org/officeDocument/2006/relationships" name="问卷统计" sheetId="6" state="visible" r:id="rId6"/>
    <sheet xmlns:r="http://schemas.openxmlformats.org/officeDocument/2006/relationships" name="企业微信飞书字段" sheetId="7" state="visible" r:id="rId7"/>
    <sheet xmlns:r="http://schemas.openxmlformats.org/officeDocument/2006/relationships" name="选项库" sheetId="8" state="visible" r:id="rId8"/>
  </sheets>
  <definedNames>
    <definedName name="_xlnm._FilterDatabase" localSheetId="1" hidden="1">'学生档案'!$A$2:$AE$2</definedName>
    <definedName name="_xlnm.Print_Titles" localSheetId="1">'学生档案'!$1:$2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b val="1"/>
      <color rgb="00FFFFFF"/>
      <sz val="13"/>
    </font>
    <font>
      <name val="微软雅黑"/>
      <sz val="11"/>
    </font>
    <font>
      <name val="微软雅黑"/>
      <b val="1"/>
      <sz val="12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color rgb="00546E7A"/>
      <sz val="9"/>
    </font>
    <font>
      <name val="微软雅黑"/>
      <b val="1"/>
      <color rgb="00BF360C"/>
      <sz val="10"/>
    </font>
    <font>
      <name val="微软雅黑"/>
      <b val="1"/>
      <color rgb="00BF360C"/>
      <sz val="14"/>
    </font>
    <font>
      <name val="微软雅黑"/>
      <b val="1"/>
      <sz val="11"/>
    </font>
    <font>
      <name val="微软雅黑"/>
      <b val="1"/>
      <color rgb="00BF360C"/>
      <sz val="12"/>
    </font>
  </fonts>
  <fills count="17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37474F"/>
      </patternFill>
    </fill>
    <fill>
      <patternFill patternType="solid">
        <fgColor rgb="00FFF8E1"/>
      </patternFill>
    </fill>
    <fill>
      <patternFill patternType="solid">
        <fgColor rgb="004527A0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F3E5F5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7F17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4" borderId="0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3" borderId="1" pivotButton="0" quotePrefix="0" xfId="0"/>
    <xf numFmtId="0" fontId="5" fillId="14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15" borderId="1" pivotButton="0" quotePrefix="0" xfId="0"/>
    <xf numFmtId="164" fontId="6" fillId="15" borderId="1" pivotButton="0" quotePrefix="0" xfId="0"/>
    <xf numFmtId="0" fontId="6" fillId="16" borderId="1" pivotButton="0" quotePrefix="0" xfId="0"/>
    <xf numFmtId="164" fontId="6" fillId="16" borderId="1" pivotButton="0" quotePrefix="0" xfId="0"/>
    <xf numFmtId="0" fontId="10" fillId="4" borderId="1" pivotButton="0" quotePrefix="0" xfId="0"/>
    <xf numFmtId="0" fontId="5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90-C2</author>
  </authors>
  <commentList>
    <comment ref="F2" authorId="0" shapeId="0">
      <text>
        <t>可多选，多个用中文分号；隔开
选项见「选项库」或 90-C4 字段页。</t>
      </text>
    </comment>
    <comment ref="V2" authorId="0" shapeId="0">
      <text>
        <t>可多选，多个用中文分号；隔开。前几名写进90-C5
选项见「选项库」或 90-C4 字段页。</t>
      </text>
    </comment>
    <comment ref="W2" authorId="0" shapeId="0">
      <text>
        <t>可多选，多个用中文分号；隔开。前几名写进90-C5
选项见「选项库」或 90-C4 字段页。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F360C"/>
    <outlinePr summaryBelow="1" summaryRight="1"/>
    <pageSetUpPr fitToPage="1"/>
  </sheetPr>
  <dimension ref="A1:B49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1" t="inlineStr">
        <is>
          <t>90-C4 学生档案与积分总表　v2.0　2026-08-19</t>
        </is>
      </c>
    </row>
    <row r="3" ht="22" customHeight="1">
      <c r="A3" s="2" t="inlineStr">
        <is>
          <t>一、你卡住的那个问题，一句话先说清</t>
        </is>
      </c>
    </row>
    <row r="4" ht="36" customHeight="1">
      <c r="A4" s="3" t="inlineStr">
        <is>
          <t>旧的 90-C4 是按更早一版问卷设计的（第1IP、形象风格、公开意愿……），后来 90-C2 Word 改成了 21 题点单表，两边字段对不上。企业微信是你按 Word 一个一个建的题，导出来的列名又是第三套。三套对不上，不是你不会用，是表没对齐。</t>
        </is>
      </c>
    </row>
    <row r="5" ht="28" customHeight="1">
      <c r="A5" s="3" t="inlineStr">
        <is>
          <t>从这一版起：90-C2 Excel、90-C4「学生档案」、企业微信字段对照表，用同一套列名、同一套选项原文。</t>
        </is>
      </c>
    </row>
    <row r="7" ht="22" customHeight="1">
      <c r="A7" s="2" t="inlineStr">
        <is>
          <t>二、开学点单怎么进这张表</t>
        </is>
      </c>
    </row>
    <row r="8" ht="20" customHeight="1">
      <c r="A8" s="3" t="inlineStr">
        <is>
          <t>纸质：按「学生档案」表头一列一列敲，40 人大约 30 分钟。</t>
        </is>
      </c>
    </row>
    <row r="9" ht="28" customHeight="1">
      <c r="A9" s="3" t="inlineStr">
        <is>
          <t>飞书：把 90-C2.xlsx 上传到飞书电子表格，下拉一般还在。学生一人一行填完，你把「点单表」整页复制，粘到本文件「学生档案」A2 起（含表头，覆盖）。紫色的 T_ 列不要覆盖，那些是公式。</t>
        </is>
      </c>
    </row>
    <row r="10" ht="36" customHeight="1">
      <c r="A10" s="3" t="inlineStr">
        <is>
          <t>企业微信：打不开「把 Excel 下拉导入收集表」这条路——企业微信收集表不吃 Excel 数据验证。打开本文件「企业微信飞书字段」，字段标题一字不差地建题，选项逐条粘贴。收齐后导出 Excel，按列名对到「学生档案」粘贴。多选题导出若用逗号、顿号分隔，统计公式也能认，不必改成中文分号。</t>
        </is>
      </c>
    </row>
    <row r="12" ht="22" customHeight="1">
      <c r="A12" s="2" t="inlineStr">
        <is>
          <t>三、第二张表「每周积分」怎么用</t>
        </is>
      </c>
    </row>
    <row r="13" ht="20" customHeight="1">
      <c r="A13" s="3" t="inlineStr">
        <is>
          <t>每个学生每周只进一个数。这个数 = 课堂分（90-B2）+ 打地鼠分（90-B1）+ 作业分。</t>
        </is>
      </c>
    </row>
    <row r="14" ht="20" customHeight="1">
      <c r="A14" s="3" t="inlineStr">
        <is>
          <t>不要直接往「每周积分」里手加三堆数，容易加错。去「本周计算器」：</t>
        </is>
      </c>
    </row>
    <row r="15" ht="20" customHeight="1">
      <c r="A15" s="3" t="inlineStr">
        <is>
          <t>1. 左上角填「当前是第几周」。</t>
        </is>
      </c>
    </row>
    <row r="16" ht="20" customHeight="1">
      <c r="A16" s="3" t="inlineStr">
        <is>
          <t>2. 把 90-B2 导出 CSV 里「本节汇总」那一段（姓名、组号、本节合计）粘到右边课堂区。</t>
        </is>
      </c>
    </row>
    <row r="17" ht="28" customHeight="1">
      <c r="A17" s="3" t="inlineStr">
        <is>
          <t>3. 把 90-B1 导出 CSV（含表头，姓名、得分那几列）粘到打地鼠区。同一个人打了好几轮，会自动加总。</t>
        </is>
      </c>
    </row>
    <row r="18" ht="20" customHeight="1">
      <c r="A18" s="3" t="inlineStr">
        <is>
          <t>4. 作业分按下面的规则手填 0 / 2 / 5。</t>
        </is>
      </c>
    </row>
    <row r="19" ht="20" customHeight="1">
      <c r="A19" s="3" t="inlineStr">
        <is>
          <t>5. 「本周合计」那一列会自动加好。整列复制，粘到「每周积分」对应那一周（只粘贴数值）。</t>
        </is>
      </c>
    </row>
    <row r="20" ht="20" customHeight="1">
      <c r="A20" s="3" t="inlineStr">
        <is>
          <t>「累计」和「当前等级」是公式，不要手改。</t>
        </is>
      </c>
    </row>
    <row r="22" ht="22" customHeight="1">
      <c r="A22" s="2" t="inlineStr">
        <is>
          <t>四、作业分到底怎么汇总</t>
        </is>
      </c>
    </row>
    <row r="23" ht="20" customHeight="1">
      <c r="A23" s="3" t="inlineStr">
        <is>
          <t>和课堂同一套两档，不要另发明百分制。</t>
        </is>
      </c>
    </row>
    <row r="24" ht="20" customHeight="1">
      <c r="A24" s="3" t="inlineStr">
        <is>
          <t>一次作业：没交＝0，交了有字＝2，完整认真＝5。一道作业最多 5 分。</t>
        </is>
      </c>
    </row>
    <row r="25" ht="20" customHeight="1">
      <c r="A25" s="3" t="inlineStr">
        <is>
          <t>一周最多记两次作业（作业1、作业2），加总后本周作业最多 10 分。</t>
        </is>
      </c>
    </row>
    <row r="26" ht="20" customHeight="1">
      <c r="A26" s="3" t="inlineStr">
        <is>
          <t>一周布置了三次以上：只记最好的两次，剩下的 squashed——老师撑不住每张都打。</t>
        </is>
      </c>
    </row>
    <row r="27" ht="20" customHeight="1">
      <c r="A27" s="3" t="inlineStr">
        <is>
          <t>记录册抽查已经在课堂上用 90-B2 加过分的，不要再当作业加一次，避免同一题拿两遍分。</t>
        </is>
      </c>
    </row>
    <row r="29" ht="22" customHeight="1">
      <c r="A29" s="2" t="inlineStr">
        <is>
          <t>五、第三张表「本周之星」是不是按成绩选</t>
        </is>
      </c>
    </row>
    <row r="30" ht="20" customHeight="1">
      <c r="A30" s="3" t="inlineStr">
        <is>
          <t>不完全是，拆开看：</t>
        </is>
      </c>
    </row>
    <row r="31" ht="28" customHeight="1">
      <c r="A31" s="3" t="inlineStr">
        <is>
          <t>· 进步最大：是的，按「每周积分」里（本周 − 上周）自动取最高的那个人。第一周没有上周，这格空着。</t>
        </is>
      </c>
    </row>
    <row r="32" ht="20" customHeight="1">
      <c r="A32" s="3" t="inlineStr">
        <is>
          <t>· 讲题最佳、帮扶最多：不是成绩，是你课堂上看到的。用下拉点姓名。</t>
        </is>
      </c>
    </row>
    <row r="33" ht="28" customHeight="1">
      <c r="A33" s="3" t="inlineStr">
        <is>
          <t>· 本期主IP：自动取这三个人在点单表「6_还喜欢哪个动画」里出现次数最多的那个；都不同就用进步最大那位的；第 6 题空着就退回第 5 题（全班票选的动画）。</t>
        </is>
      </c>
    </row>
    <row r="34" ht="28" customHeight="1">
      <c r="A34" s="3" t="inlineStr">
        <is>
          <t>排期表提前一周打印贴后墙。出镜前再看一眼「T_红线_形象」和「16_愿不愿意当主角」，选了不要用 / 坚决不要的，换人。</t>
        </is>
      </c>
    </row>
    <row r="36" ht="22" customHeight="1">
      <c r="A36" s="2" t="inlineStr">
        <is>
          <t>六、第四张表「问卷统计」怎么用</t>
        </is>
      </c>
    </row>
    <row r="37" ht="20" customHeight="1">
      <c r="A37" s="3" t="inlineStr">
        <is>
          <t>全部是公式，对着「学生档案」自动数。你不用手打正字。</t>
        </is>
      </c>
    </row>
    <row r="38" ht="20" customHeight="1">
      <c r="A38" s="3" t="inlineStr">
        <is>
          <t>开学收齐点单后打开看一眼：</t>
        </is>
      </c>
    </row>
    <row r="39" ht="20" customHeight="1">
      <c r="A39" s="3" t="inlineStr">
        <is>
          <t>· 第 5 题得票最高的动画 = 第 7 周起的班底 IP。</t>
        </is>
      </c>
    </row>
    <row r="40" ht="20" customHeight="1">
      <c r="A40" s="3" t="inlineStr">
        <is>
          <t>· 第 19 题前 3 名，抄进 90-C5 兑换清单。</t>
        </is>
      </c>
    </row>
    <row r="41" ht="20" customHeight="1">
      <c r="A41" s="3" t="inlineStr">
        <is>
          <t>· 第 20 题前 3 名，抄进 90-C5 趣味认罚。</t>
        </is>
      </c>
    </row>
    <row r="42" ht="20" customHeight="1">
      <c r="A42" s="3" t="inlineStr">
        <is>
          <t>· 第 18 题「不要用」的人数，单独记在心里，出镜绝对避开。</t>
        </is>
      </c>
    </row>
    <row r="43" ht="28" customHeight="1">
      <c r="A43" s="3" t="inlineStr">
        <is>
          <t>项目结束评奖：打开「每周积分」按累计从高到低排，再结合主文档写的「这个项目选哪种人」（项目四是找茬最准 + 凭证最规范），不是死板取前两名。</t>
        </is>
      </c>
    </row>
    <row r="45" ht="22" customHeight="1">
      <c r="A45" s="2" t="inlineStr">
        <is>
          <t>七、和企业微信、飞书的关系（下拉能不能导入）</t>
        </is>
      </c>
    </row>
    <row r="46" ht="28" customHeight="1">
      <c r="A46" s="3" t="inlineStr">
        <is>
          <t>企业微信收集表：不能导入 Excel 下拉。必须按「企业微信飞书字段」手建。建一次，以后每年复制那张收集表即可。导出后列名对得上，就再也不用对字段。</t>
        </is>
      </c>
    </row>
    <row r="47" ht="28" customHeight="1">
      <c r="A47" s="3" t="inlineStr">
        <is>
          <t>飞书电子表格：把 90-C2.xlsx 直接上传，下拉列表多数情况能保留。这是三种在线方案里最省事的。</t>
        </is>
      </c>
    </row>
    <row r="48" ht="28" customHeight="1">
      <c r="A48" s="3" t="inlineStr">
        <is>
          <t>飞书多维表格 / 飞书问卷：导入 Excel 只会带进文字，单选/多选要在多维表格里把字段类型改掉，选项再贴一次。能用，但比电子表格多一步。</t>
        </is>
      </c>
    </row>
    <row r="49" ht="28" customHeight="1">
      <c r="A49" s="3" t="inlineStr">
        <is>
          <t>腾讯文档 / WPS 在线：和飞书电子表格类似，xlsx 上传后下拉通常还在，可先试一张再发给学生。</t>
        </is>
      </c>
    </row>
  </sheetData>
  <mergeCells count="42">
    <mergeCell ref="A48:B48"/>
    <mergeCell ref="A24:B24"/>
    <mergeCell ref="A30:B30"/>
    <mergeCell ref="A15:B15"/>
    <mergeCell ref="A49:B49"/>
    <mergeCell ref="A45:B45"/>
    <mergeCell ref="A36:B36"/>
    <mergeCell ref="A1:B1"/>
    <mergeCell ref="A16:B16"/>
    <mergeCell ref="A7:B7"/>
    <mergeCell ref="A25:B25"/>
    <mergeCell ref="A41:B41"/>
    <mergeCell ref="A37:B37"/>
    <mergeCell ref="A46:B46"/>
    <mergeCell ref="A18:B18"/>
    <mergeCell ref="A27:B27"/>
    <mergeCell ref="A3:B3"/>
    <mergeCell ref="A12:B12"/>
    <mergeCell ref="A26:B26"/>
    <mergeCell ref="A33:B33"/>
    <mergeCell ref="A47:B47"/>
    <mergeCell ref="A5:B5"/>
    <mergeCell ref="A42:B42"/>
    <mergeCell ref="A32:B32"/>
    <mergeCell ref="A14:B14"/>
    <mergeCell ref="A23:B23"/>
    <mergeCell ref="A17:B17"/>
    <mergeCell ref="A8:B8"/>
    <mergeCell ref="A22:B22"/>
    <mergeCell ref="A4:B4"/>
    <mergeCell ref="A20:B20"/>
    <mergeCell ref="A38:B38"/>
    <mergeCell ref="A29:B29"/>
    <mergeCell ref="A43:B43"/>
    <mergeCell ref="A19:B19"/>
    <mergeCell ref="A10:B10"/>
    <mergeCell ref="A13:B13"/>
    <mergeCell ref="A40:B40"/>
    <mergeCell ref="A9:B9"/>
    <mergeCell ref="A31:B31"/>
    <mergeCell ref="A39:B39"/>
    <mergeCell ref="A34:B34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AE52"/>
  <sheetViews>
    <sheetView zoomScale="9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28" customWidth="1" min="6" max="6"/>
    <col width="2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8" customWidth="1" min="19" max="19"/>
    <col width="22" customWidth="1" min="20" max="20"/>
    <col width="18" customWidth="1" min="21" max="21"/>
    <col width="28" customWidth="1" min="22" max="22"/>
    <col width="28" customWidth="1" min="23" max="23"/>
    <col width="22" customWidth="1" min="24" max="24"/>
    <col width="18" customWidth="1" min="25" max="25"/>
    <col width="18" customWidth="1" min="26" max="26"/>
    <col width="16" customWidth="1" min="27" max="27"/>
    <col width="12" customWidth="1" min="28" max="28"/>
    <col width="16" customWidth="1" min="29" max="29"/>
    <col width="18" customWidth="1" min="30" max="30"/>
    <col width="16" customWidth="1" min="31" max="31"/>
  </cols>
  <sheetData>
    <row r="1" ht="48" customHeight="1">
      <c r="A1" s="4" t="inlineStr">
        <is>
          <t>一人一行。黄底格子用下拉，不要改字。第3/19/20题可多选，多项用中文分号；隔开。列名不要改、不要插列——这是和 90-C4 / 企业微信导出对齐的主键。　紫色列是老师用的，学生不用填。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1_接触过会计吗</t>
        </is>
      </c>
      <c r="E2" s="6" t="inlineStr">
        <is>
          <t>2_数学怎么样</t>
        </is>
      </c>
      <c r="F2" s="6" t="inlineStr">
        <is>
          <t>3_希望怎么上课</t>
        </is>
      </c>
      <c r="G2" s="6" t="inlineStr">
        <is>
          <t>4_最担心什么</t>
        </is>
      </c>
      <c r="H2" s="6" t="inlineStr">
        <is>
          <t>5_第7周起换哪个动画</t>
        </is>
      </c>
      <c r="I2" s="6" t="inlineStr">
        <is>
          <t>6_还喜欢哪个动画</t>
        </is>
      </c>
      <c r="J2" s="6" t="inlineStr">
        <is>
          <t>7_喜欢的明星主播偶像</t>
        </is>
      </c>
      <c r="K2" s="6" t="inlineStr">
        <is>
          <t>8_外号是什么谁起的</t>
        </is>
      </c>
      <c r="L2" s="6" t="inlineStr">
        <is>
          <t>9_口头禅</t>
        </is>
      </c>
      <c r="M2" s="6" t="inlineStr">
        <is>
          <t>10_小动作或小习惯</t>
        </is>
      </c>
      <c r="N2" s="6" t="inlineStr">
        <is>
          <t>11_最怕上课被问到什么</t>
        </is>
      </c>
      <c r="O2" s="6" t="inlineStr">
        <is>
          <t>12_平时最爱做什么</t>
        </is>
      </c>
      <c r="P2" s="6" t="inlineStr">
        <is>
          <t>13_三个词形容自己</t>
        </is>
      </c>
      <c r="Q2" s="6" t="inlineStr">
        <is>
          <t>14_同桌三个词形容你</t>
        </is>
      </c>
      <c r="R2" s="6" t="inlineStr">
        <is>
          <t>15_舍友觉得最搞笑的事</t>
        </is>
      </c>
      <c r="S2" s="6" t="inlineStr">
        <is>
          <t>16_愿不愿意当主角</t>
        </is>
      </c>
      <c r="T2" s="6" t="inlineStr">
        <is>
          <t>17_当主角想搞懂哪件事</t>
        </is>
      </c>
      <c r="U2" s="6" t="inlineStr">
        <is>
          <t>18_照片可以做卡通形象吗</t>
        </is>
      </c>
      <c r="V2" s="6" t="inlineStr">
        <is>
          <t>19_想要的奖励</t>
        </is>
      </c>
      <c r="W2" s="6" t="inlineStr">
        <is>
          <t>20_能接受的惩罚</t>
        </is>
      </c>
      <c r="X2" s="6" t="inlineStr">
        <is>
          <t>21_想对老师说什么</t>
        </is>
      </c>
      <c r="Y2" s="6" t="inlineStr">
        <is>
          <t>填表日期</t>
        </is>
      </c>
      <c r="Z2" s="6" t="inlineStr">
        <is>
          <t>本人签名</t>
        </is>
      </c>
      <c r="AA2" s="7" t="inlineStr">
        <is>
          <t>T_卡通形象文件名</t>
        </is>
      </c>
      <c r="AB2" s="7" t="inlineStr">
        <is>
          <t>T_累计积分</t>
        </is>
      </c>
      <c r="AC2" s="7" t="inlineStr">
        <is>
          <t>T_当前等级</t>
        </is>
      </c>
      <c r="AD2" s="7" t="inlineStr">
        <is>
          <t>T_红线_形象</t>
        </is>
      </c>
      <c r="AE2" s="7" t="inlineStr">
        <is>
          <t>T_备注</t>
        </is>
      </c>
    </row>
    <row r="3">
      <c r="A3" s="8" t="n"/>
      <c r="B3" s="8" t="n"/>
      <c r="C3" s="8" t="n"/>
      <c r="D3" s="9" t="n"/>
      <c r="E3" s="9" t="n"/>
      <c r="F3" s="9" t="n"/>
      <c r="G3" s="8" t="n"/>
      <c r="H3" s="9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9" t="n"/>
      <c r="T3" s="8" t="n"/>
      <c r="U3" s="9" t="n"/>
      <c r="V3" s="9" t="n"/>
      <c r="W3" s="9" t="n"/>
      <c r="X3" s="8" t="n"/>
      <c r="Y3" s="9" t="n"/>
      <c r="Z3" s="8" t="n"/>
      <c r="AA3" s="10">
        <f>IF(B3="","",B3&amp;".png")</f>
        <v/>
      </c>
      <c r="AB3" s="10">
        <f>IF(B3="","",IFERROR(INDEX(每周积分!$U:$U,MATCH(B3,每周积分!$A:$A,0)),0))</f>
        <v/>
      </c>
      <c r="AC3" s="10">
        <f>IF(AB3="","",IFERROR(INDEX(每周积分!$V:$V,MATCH(B3,每周积分!$A:$A,0)),""))</f>
        <v/>
      </c>
      <c r="AD3" s="10">
        <f>IF(U3="","",IF(OR(U3="不要用",U3="只用于我自己的头像"),"★形象不可公开",IF(U3="可以但别太丑","只用奖励风格","可正常使用")))</f>
        <v/>
      </c>
      <c r="AE3" s="8" t="n"/>
    </row>
    <row r="4">
      <c r="A4" s="11" t="n"/>
      <c r="B4" s="11" t="n"/>
      <c r="C4" s="11" t="n"/>
      <c r="D4" s="12" t="n"/>
      <c r="E4" s="12" t="n"/>
      <c r="F4" s="12" t="n"/>
      <c r="G4" s="11" t="n"/>
      <c r="H4" s="12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2" t="n"/>
      <c r="T4" s="11" t="n"/>
      <c r="U4" s="12" t="n"/>
      <c r="V4" s="12" t="n"/>
      <c r="W4" s="12" t="n"/>
      <c r="X4" s="11" t="n"/>
      <c r="Y4" s="12" t="n"/>
      <c r="Z4" s="11" t="n"/>
      <c r="AA4" s="10">
        <f>IF(B4="","",B4&amp;".png")</f>
        <v/>
      </c>
      <c r="AB4" s="10">
        <f>IF(B4="","",IFERROR(INDEX(每周积分!$U:$U,MATCH(B4,每周积分!$A:$A,0)),0))</f>
        <v/>
      </c>
      <c r="AC4" s="10">
        <f>IF(AB4="","",IFERROR(INDEX(每周积分!$V:$V,MATCH(B4,每周积分!$A:$A,0)),""))</f>
        <v/>
      </c>
      <c r="AD4" s="10">
        <f>IF(U4="","",IF(OR(U4="不要用",U4="只用于我自己的头像"),"★形象不可公开",IF(U4="可以但别太丑","只用奖励风格","可正常使用")))</f>
        <v/>
      </c>
      <c r="AE4" s="11" t="n"/>
    </row>
    <row r="5">
      <c r="A5" s="8" t="n"/>
      <c r="B5" s="8" t="n"/>
      <c r="C5" s="8" t="n"/>
      <c r="D5" s="9" t="n"/>
      <c r="E5" s="9" t="n"/>
      <c r="F5" s="9" t="n"/>
      <c r="G5" s="8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  <c r="T5" s="8" t="n"/>
      <c r="U5" s="9" t="n"/>
      <c r="V5" s="9" t="n"/>
      <c r="W5" s="9" t="n"/>
      <c r="X5" s="8" t="n"/>
      <c r="Y5" s="9" t="n"/>
      <c r="Z5" s="8" t="n"/>
      <c r="AA5" s="10">
        <f>IF(B5="","",B5&amp;".png")</f>
        <v/>
      </c>
      <c r="AB5" s="10">
        <f>IF(B5="","",IFERROR(INDEX(每周积分!$U:$U,MATCH(B5,每周积分!$A:$A,0)),0))</f>
        <v/>
      </c>
      <c r="AC5" s="10">
        <f>IF(AB5="","",IFERROR(INDEX(每周积分!$V:$V,MATCH(B5,每周积分!$A:$A,0)),""))</f>
        <v/>
      </c>
      <c r="AD5" s="10">
        <f>IF(U5="","",IF(OR(U5="不要用",U5="只用于我自己的头像"),"★形象不可公开",IF(U5="可以但别太丑","只用奖励风格","可正常使用")))</f>
        <v/>
      </c>
      <c r="AE5" s="8" t="n"/>
    </row>
    <row r="6">
      <c r="A6" s="11" t="n"/>
      <c r="B6" s="11" t="n"/>
      <c r="C6" s="11" t="n"/>
      <c r="D6" s="12" t="n"/>
      <c r="E6" s="12" t="n"/>
      <c r="F6" s="12" t="n"/>
      <c r="G6" s="11" t="n"/>
      <c r="H6" s="12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2" t="n"/>
      <c r="T6" s="11" t="n"/>
      <c r="U6" s="12" t="n"/>
      <c r="V6" s="12" t="n"/>
      <c r="W6" s="12" t="n"/>
      <c r="X6" s="11" t="n"/>
      <c r="Y6" s="12" t="n"/>
      <c r="Z6" s="11" t="n"/>
      <c r="AA6" s="10">
        <f>IF(B6="","",B6&amp;".png")</f>
        <v/>
      </c>
      <c r="AB6" s="10">
        <f>IF(B6="","",IFERROR(INDEX(每周积分!$U:$U,MATCH(B6,每周积分!$A:$A,0)),0))</f>
        <v/>
      </c>
      <c r="AC6" s="10">
        <f>IF(AB6="","",IFERROR(INDEX(每周积分!$V:$V,MATCH(B6,每周积分!$A:$A,0)),""))</f>
        <v/>
      </c>
      <c r="AD6" s="10">
        <f>IF(U6="","",IF(OR(U6="不要用",U6="只用于我自己的头像"),"★形象不可公开",IF(U6="可以但别太丑","只用奖励风格","可正常使用")))</f>
        <v/>
      </c>
      <c r="AE6" s="11" t="n"/>
    </row>
    <row r="7">
      <c r="A7" s="8" t="n"/>
      <c r="B7" s="8" t="n"/>
      <c r="C7" s="8" t="n"/>
      <c r="D7" s="9" t="n"/>
      <c r="E7" s="9" t="n"/>
      <c r="F7" s="9" t="n"/>
      <c r="G7" s="8" t="n"/>
      <c r="H7" s="9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  <c r="T7" s="8" t="n"/>
      <c r="U7" s="9" t="n"/>
      <c r="V7" s="9" t="n"/>
      <c r="W7" s="9" t="n"/>
      <c r="X7" s="8" t="n"/>
      <c r="Y7" s="9" t="n"/>
      <c r="Z7" s="8" t="n"/>
      <c r="AA7" s="10">
        <f>IF(B7="","",B7&amp;".png")</f>
        <v/>
      </c>
      <c r="AB7" s="10">
        <f>IF(B7="","",IFERROR(INDEX(每周积分!$U:$U,MATCH(B7,每周积分!$A:$A,0)),0))</f>
        <v/>
      </c>
      <c r="AC7" s="10">
        <f>IF(AB7="","",IFERROR(INDEX(每周积分!$V:$V,MATCH(B7,每周积分!$A:$A,0)),""))</f>
        <v/>
      </c>
      <c r="AD7" s="10">
        <f>IF(U7="","",IF(OR(U7="不要用",U7="只用于我自己的头像"),"★形象不可公开",IF(U7="可以但别太丑","只用奖励风格","可正常使用")))</f>
        <v/>
      </c>
      <c r="AE7" s="8" t="n"/>
    </row>
    <row r="8">
      <c r="A8" s="11" t="n"/>
      <c r="B8" s="11" t="n"/>
      <c r="C8" s="11" t="n"/>
      <c r="D8" s="12" t="n"/>
      <c r="E8" s="12" t="n"/>
      <c r="F8" s="12" t="n"/>
      <c r="G8" s="11" t="n"/>
      <c r="H8" s="12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2" t="n"/>
      <c r="T8" s="11" t="n"/>
      <c r="U8" s="12" t="n"/>
      <c r="V8" s="12" t="n"/>
      <c r="W8" s="12" t="n"/>
      <c r="X8" s="11" t="n"/>
      <c r="Y8" s="12" t="n"/>
      <c r="Z8" s="11" t="n"/>
      <c r="AA8" s="10">
        <f>IF(B8="","",B8&amp;".png")</f>
        <v/>
      </c>
      <c r="AB8" s="10">
        <f>IF(B8="","",IFERROR(INDEX(每周积分!$U:$U,MATCH(B8,每周积分!$A:$A,0)),0))</f>
        <v/>
      </c>
      <c r="AC8" s="10">
        <f>IF(AB8="","",IFERROR(INDEX(每周积分!$V:$V,MATCH(B8,每周积分!$A:$A,0)),""))</f>
        <v/>
      </c>
      <c r="AD8" s="10">
        <f>IF(U8="","",IF(OR(U8="不要用",U8="只用于我自己的头像"),"★形象不可公开",IF(U8="可以但别太丑","只用奖励风格","可正常使用")))</f>
        <v/>
      </c>
      <c r="AE8" s="11" t="n"/>
    </row>
    <row r="9">
      <c r="A9" s="8" t="n"/>
      <c r="B9" s="8" t="n"/>
      <c r="C9" s="8" t="n"/>
      <c r="D9" s="9" t="n"/>
      <c r="E9" s="9" t="n"/>
      <c r="F9" s="9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9" t="n"/>
      <c r="T9" s="8" t="n"/>
      <c r="U9" s="9" t="n"/>
      <c r="V9" s="9" t="n"/>
      <c r="W9" s="9" t="n"/>
      <c r="X9" s="8" t="n"/>
      <c r="Y9" s="9" t="n"/>
      <c r="Z9" s="8" t="n"/>
      <c r="AA9" s="10">
        <f>IF(B9="","",B9&amp;".png")</f>
        <v/>
      </c>
      <c r="AB9" s="10">
        <f>IF(B9="","",IFERROR(INDEX(每周积分!$U:$U,MATCH(B9,每周积分!$A:$A,0)),0))</f>
        <v/>
      </c>
      <c r="AC9" s="10">
        <f>IF(AB9="","",IFERROR(INDEX(每周积分!$V:$V,MATCH(B9,每周积分!$A:$A,0)),""))</f>
        <v/>
      </c>
      <c r="AD9" s="10">
        <f>IF(U9="","",IF(OR(U9="不要用",U9="只用于我自己的头像"),"★形象不可公开",IF(U9="可以但别太丑","只用奖励风格","可正常使用")))</f>
        <v/>
      </c>
      <c r="AE9" s="8" t="n"/>
    </row>
    <row r="10">
      <c r="A10" s="11" t="n"/>
      <c r="B10" s="11" t="n"/>
      <c r="C10" s="11" t="n"/>
      <c r="D10" s="12" t="n"/>
      <c r="E10" s="12" t="n"/>
      <c r="F10" s="12" t="n"/>
      <c r="G10" s="11" t="n"/>
      <c r="H10" s="12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2" t="n"/>
      <c r="T10" s="11" t="n"/>
      <c r="U10" s="12" t="n"/>
      <c r="V10" s="12" t="n"/>
      <c r="W10" s="12" t="n"/>
      <c r="X10" s="11" t="n"/>
      <c r="Y10" s="12" t="n"/>
      <c r="Z10" s="11" t="n"/>
      <c r="AA10" s="10">
        <f>IF(B10="","",B10&amp;".png")</f>
        <v/>
      </c>
      <c r="AB10" s="10">
        <f>IF(B10="","",IFERROR(INDEX(每周积分!$U:$U,MATCH(B10,每周积分!$A:$A,0)),0))</f>
        <v/>
      </c>
      <c r="AC10" s="10">
        <f>IF(AB10="","",IFERROR(INDEX(每周积分!$V:$V,MATCH(B10,每周积分!$A:$A,0)),""))</f>
        <v/>
      </c>
      <c r="AD10" s="10">
        <f>IF(U10="","",IF(OR(U10="不要用",U10="只用于我自己的头像"),"★形象不可公开",IF(U10="可以但别太丑","只用奖励风格","可正常使用")))</f>
        <v/>
      </c>
      <c r="AE10" s="11" t="n"/>
    </row>
    <row r="11">
      <c r="A11" s="8" t="n"/>
      <c r="B11" s="8" t="n"/>
      <c r="C11" s="8" t="n"/>
      <c r="D11" s="9" t="n"/>
      <c r="E11" s="9" t="n"/>
      <c r="F11" s="9" t="n"/>
      <c r="G11" s="8" t="n"/>
      <c r="H11" s="9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  <c r="T11" s="8" t="n"/>
      <c r="U11" s="9" t="n"/>
      <c r="V11" s="9" t="n"/>
      <c r="W11" s="9" t="n"/>
      <c r="X11" s="8" t="n"/>
      <c r="Y11" s="9" t="n"/>
      <c r="Z11" s="8" t="n"/>
      <c r="AA11" s="10">
        <f>IF(B11="","",B11&amp;".png")</f>
        <v/>
      </c>
      <c r="AB11" s="10">
        <f>IF(B11="","",IFERROR(INDEX(每周积分!$U:$U,MATCH(B11,每周积分!$A:$A,0)),0))</f>
        <v/>
      </c>
      <c r="AC11" s="10">
        <f>IF(AB11="","",IFERROR(INDEX(每周积分!$V:$V,MATCH(B11,每周积分!$A:$A,0)),""))</f>
        <v/>
      </c>
      <c r="AD11" s="10">
        <f>IF(U11="","",IF(OR(U11="不要用",U11="只用于我自己的头像"),"★形象不可公开",IF(U11="可以但别太丑","只用奖励风格","可正常使用")))</f>
        <v/>
      </c>
      <c r="AE11" s="8" t="n"/>
    </row>
    <row r="12">
      <c r="A12" s="11" t="n"/>
      <c r="B12" s="11" t="n"/>
      <c r="C12" s="11" t="n"/>
      <c r="D12" s="12" t="n"/>
      <c r="E12" s="12" t="n"/>
      <c r="F12" s="12" t="n"/>
      <c r="G12" s="11" t="n"/>
      <c r="H12" s="12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2" t="n"/>
      <c r="T12" s="11" t="n"/>
      <c r="U12" s="12" t="n"/>
      <c r="V12" s="12" t="n"/>
      <c r="W12" s="12" t="n"/>
      <c r="X12" s="11" t="n"/>
      <c r="Y12" s="12" t="n"/>
      <c r="Z12" s="11" t="n"/>
      <c r="AA12" s="10">
        <f>IF(B12="","",B12&amp;".png")</f>
        <v/>
      </c>
      <c r="AB12" s="10">
        <f>IF(B12="","",IFERROR(INDEX(每周积分!$U:$U,MATCH(B12,每周积分!$A:$A,0)),0))</f>
        <v/>
      </c>
      <c r="AC12" s="10">
        <f>IF(AB12="","",IFERROR(INDEX(每周积分!$V:$V,MATCH(B12,每周积分!$A:$A,0)),""))</f>
        <v/>
      </c>
      <c r="AD12" s="10">
        <f>IF(U12="","",IF(OR(U12="不要用",U12="只用于我自己的头像"),"★形象不可公开",IF(U12="可以但别太丑","只用奖励风格","可正常使用")))</f>
        <v/>
      </c>
      <c r="AE12" s="11" t="n"/>
    </row>
    <row r="13">
      <c r="A13" s="8" t="n"/>
      <c r="B13" s="8" t="n"/>
      <c r="C13" s="8" t="n"/>
      <c r="D13" s="9" t="n"/>
      <c r="E13" s="9" t="n"/>
      <c r="F13" s="9" t="n"/>
      <c r="G13" s="8" t="n"/>
      <c r="H13" s="9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9" t="n"/>
      <c r="T13" s="8" t="n"/>
      <c r="U13" s="9" t="n"/>
      <c r="V13" s="9" t="n"/>
      <c r="W13" s="9" t="n"/>
      <c r="X13" s="8" t="n"/>
      <c r="Y13" s="9" t="n"/>
      <c r="Z13" s="8" t="n"/>
      <c r="AA13" s="10">
        <f>IF(B13="","",B13&amp;".png")</f>
        <v/>
      </c>
      <c r="AB13" s="10">
        <f>IF(B13="","",IFERROR(INDEX(每周积分!$U:$U,MATCH(B13,每周积分!$A:$A,0)),0))</f>
        <v/>
      </c>
      <c r="AC13" s="10">
        <f>IF(AB13="","",IFERROR(INDEX(每周积分!$V:$V,MATCH(B13,每周积分!$A:$A,0)),""))</f>
        <v/>
      </c>
      <c r="AD13" s="10">
        <f>IF(U13="","",IF(OR(U13="不要用",U13="只用于我自己的头像"),"★形象不可公开",IF(U13="可以但别太丑","只用奖励风格","可正常使用")))</f>
        <v/>
      </c>
      <c r="AE13" s="8" t="n"/>
    </row>
    <row r="14">
      <c r="A14" s="11" t="n"/>
      <c r="B14" s="11" t="n"/>
      <c r="C14" s="11" t="n"/>
      <c r="D14" s="12" t="n"/>
      <c r="E14" s="12" t="n"/>
      <c r="F14" s="12" t="n"/>
      <c r="G14" s="11" t="n"/>
      <c r="H14" s="12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2" t="n"/>
      <c r="T14" s="11" t="n"/>
      <c r="U14" s="12" t="n"/>
      <c r="V14" s="12" t="n"/>
      <c r="W14" s="12" t="n"/>
      <c r="X14" s="11" t="n"/>
      <c r="Y14" s="12" t="n"/>
      <c r="Z14" s="11" t="n"/>
      <c r="AA14" s="10">
        <f>IF(B14="","",B14&amp;".png")</f>
        <v/>
      </c>
      <c r="AB14" s="10">
        <f>IF(B14="","",IFERROR(INDEX(每周积分!$U:$U,MATCH(B14,每周积分!$A:$A,0)),0))</f>
        <v/>
      </c>
      <c r="AC14" s="10">
        <f>IF(AB14="","",IFERROR(INDEX(每周积分!$V:$V,MATCH(B14,每周积分!$A:$A,0)),""))</f>
        <v/>
      </c>
      <c r="AD14" s="10">
        <f>IF(U14="","",IF(OR(U14="不要用",U14="只用于我自己的头像"),"★形象不可公开",IF(U14="可以但别太丑","只用奖励风格","可正常使用")))</f>
        <v/>
      </c>
      <c r="AE14" s="11" t="n"/>
    </row>
    <row r="15">
      <c r="A15" s="8" t="n"/>
      <c r="B15" s="8" t="n"/>
      <c r="C15" s="8" t="n"/>
      <c r="D15" s="9" t="n"/>
      <c r="E15" s="9" t="n"/>
      <c r="F15" s="9" t="n"/>
      <c r="G15" s="8" t="n"/>
      <c r="H15" s="9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9" t="n"/>
      <c r="T15" s="8" t="n"/>
      <c r="U15" s="9" t="n"/>
      <c r="V15" s="9" t="n"/>
      <c r="W15" s="9" t="n"/>
      <c r="X15" s="8" t="n"/>
      <c r="Y15" s="9" t="n"/>
      <c r="Z15" s="8" t="n"/>
      <c r="AA15" s="10">
        <f>IF(B15="","",B15&amp;".png")</f>
        <v/>
      </c>
      <c r="AB15" s="10">
        <f>IF(B15="","",IFERROR(INDEX(每周积分!$U:$U,MATCH(B15,每周积分!$A:$A,0)),0))</f>
        <v/>
      </c>
      <c r="AC15" s="10">
        <f>IF(AB15="","",IFERROR(INDEX(每周积分!$V:$V,MATCH(B15,每周积分!$A:$A,0)),""))</f>
        <v/>
      </c>
      <c r="AD15" s="10">
        <f>IF(U15="","",IF(OR(U15="不要用",U15="只用于我自己的头像"),"★形象不可公开",IF(U15="可以但别太丑","只用奖励风格","可正常使用")))</f>
        <v/>
      </c>
      <c r="AE15" s="8" t="n"/>
    </row>
    <row r="16">
      <c r="A16" s="11" t="n"/>
      <c r="B16" s="11" t="n"/>
      <c r="C16" s="11" t="n"/>
      <c r="D16" s="12" t="n"/>
      <c r="E16" s="12" t="n"/>
      <c r="F16" s="12" t="n"/>
      <c r="G16" s="11" t="n"/>
      <c r="H16" s="12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2" t="n"/>
      <c r="T16" s="11" t="n"/>
      <c r="U16" s="12" t="n"/>
      <c r="V16" s="12" t="n"/>
      <c r="W16" s="12" t="n"/>
      <c r="X16" s="11" t="n"/>
      <c r="Y16" s="12" t="n"/>
      <c r="Z16" s="11" t="n"/>
      <c r="AA16" s="10">
        <f>IF(B16="","",B16&amp;".png")</f>
        <v/>
      </c>
      <c r="AB16" s="10">
        <f>IF(B16="","",IFERROR(INDEX(每周积分!$U:$U,MATCH(B16,每周积分!$A:$A,0)),0))</f>
        <v/>
      </c>
      <c r="AC16" s="10">
        <f>IF(AB16="","",IFERROR(INDEX(每周积分!$V:$V,MATCH(B16,每周积分!$A:$A,0)),""))</f>
        <v/>
      </c>
      <c r="AD16" s="10">
        <f>IF(U16="","",IF(OR(U16="不要用",U16="只用于我自己的头像"),"★形象不可公开",IF(U16="可以但别太丑","只用奖励风格","可正常使用")))</f>
        <v/>
      </c>
      <c r="AE16" s="11" t="n"/>
    </row>
    <row r="17">
      <c r="A17" s="8" t="n"/>
      <c r="B17" s="8" t="n"/>
      <c r="C17" s="8" t="n"/>
      <c r="D17" s="9" t="n"/>
      <c r="E17" s="9" t="n"/>
      <c r="F17" s="9" t="n"/>
      <c r="G17" s="8" t="n"/>
      <c r="H17" s="9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  <c r="T17" s="8" t="n"/>
      <c r="U17" s="9" t="n"/>
      <c r="V17" s="9" t="n"/>
      <c r="W17" s="9" t="n"/>
      <c r="X17" s="8" t="n"/>
      <c r="Y17" s="9" t="n"/>
      <c r="Z17" s="8" t="n"/>
      <c r="AA17" s="10">
        <f>IF(B17="","",B17&amp;".png")</f>
        <v/>
      </c>
      <c r="AB17" s="10">
        <f>IF(B17="","",IFERROR(INDEX(每周积分!$U:$U,MATCH(B17,每周积分!$A:$A,0)),0))</f>
        <v/>
      </c>
      <c r="AC17" s="10">
        <f>IF(AB17="","",IFERROR(INDEX(每周积分!$V:$V,MATCH(B17,每周积分!$A:$A,0)),""))</f>
        <v/>
      </c>
      <c r="AD17" s="10">
        <f>IF(U17="","",IF(OR(U17="不要用",U17="只用于我自己的头像"),"★形象不可公开",IF(U17="可以但别太丑","只用奖励风格","可正常使用")))</f>
        <v/>
      </c>
      <c r="AE17" s="8" t="n"/>
    </row>
    <row r="18">
      <c r="A18" s="11" t="n"/>
      <c r="B18" s="11" t="n"/>
      <c r="C18" s="11" t="n"/>
      <c r="D18" s="12" t="n"/>
      <c r="E18" s="12" t="n"/>
      <c r="F18" s="12" t="n"/>
      <c r="G18" s="11" t="n"/>
      <c r="H18" s="12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2" t="n"/>
      <c r="T18" s="11" t="n"/>
      <c r="U18" s="12" t="n"/>
      <c r="V18" s="12" t="n"/>
      <c r="W18" s="12" t="n"/>
      <c r="X18" s="11" t="n"/>
      <c r="Y18" s="12" t="n"/>
      <c r="Z18" s="11" t="n"/>
      <c r="AA18" s="10">
        <f>IF(B18="","",B18&amp;".png")</f>
        <v/>
      </c>
      <c r="AB18" s="10">
        <f>IF(B18="","",IFERROR(INDEX(每周积分!$U:$U,MATCH(B18,每周积分!$A:$A,0)),0))</f>
        <v/>
      </c>
      <c r="AC18" s="10">
        <f>IF(AB18="","",IFERROR(INDEX(每周积分!$V:$V,MATCH(B18,每周积分!$A:$A,0)),""))</f>
        <v/>
      </c>
      <c r="AD18" s="10">
        <f>IF(U18="","",IF(OR(U18="不要用",U18="只用于我自己的头像"),"★形象不可公开",IF(U18="可以但别太丑","只用奖励风格","可正常使用")))</f>
        <v/>
      </c>
      <c r="AE18" s="11" t="n"/>
    </row>
    <row r="19">
      <c r="A19" s="8" t="n"/>
      <c r="B19" s="8" t="n"/>
      <c r="C19" s="8" t="n"/>
      <c r="D19" s="9" t="n"/>
      <c r="E19" s="9" t="n"/>
      <c r="F19" s="9" t="n"/>
      <c r="G19" s="8" t="n"/>
      <c r="H19" s="9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  <c r="T19" s="8" t="n"/>
      <c r="U19" s="9" t="n"/>
      <c r="V19" s="9" t="n"/>
      <c r="W19" s="9" t="n"/>
      <c r="X19" s="8" t="n"/>
      <c r="Y19" s="9" t="n"/>
      <c r="Z19" s="8" t="n"/>
      <c r="AA19" s="10">
        <f>IF(B19="","",B19&amp;".png")</f>
        <v/>
      </c>
      <c r="AB19" s="10">
        <f>IF(B19="","",IFERROR(INDEX(每周积分!$U:$U,MATCH(B19,每周积分!$A:$A,0)),0))</f>
        <v/>
      </c>
      <c r="AC19" s="10">
        <f>IF(AB19="","",IFERROR(INDEX(每周积分!$V:$V,MATCH(B19,每周积分!$A:$A,0)),""))</f>
        <v/>
      </c>
      <c r="AD19" s="10">
        <f>IF(U19="","",IF(OR(U19="不要用",U19="只用于我自己的头像"),"★形象不可公开",IF(U19="可以但别太丑","只用奖励风格","可正常使用")))</f>
        <v/>
      </c>
      <c r="AE19" s="8" t="n"/>
    </row>
    <row r="20">
      <c r="A20" s="11" t="n"/>
      <c r="B20" s="11" t="n"/>
      <c r="C20" s="11" t="n"/>
      <c r="D20" s="12" t="n"/>
      <c r="E20" s="12" t="n"/>
      <c r="F20" s="12" t="n"/>
      <c r="G20" s="11" t="n"/>
      <c r="H20" s="12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2" t="n"/>
      <c r="T20" s="11" t="n"/>
      <c r="U20" s="12" t="n"/>
      <c r="V20" s="12" t="n"/>
      <c r="W20" s="12" t="n"/>
      <c r="X20" s="11" t="n"/>
      <c r="Y20" s="12" t="n"/>
      <c r="Z20" s="11" t="n"/>
      <c r="AA20" s="10">
        <f>IF(B20="","",B20&amp;".png")</f>
        <v/>
      </c>
      <c r="AB20" s="10">
        <f>IF(B20="","",IFERROR(INDEX(每周积分!$U:$U,MATCH(B20,每周积分!$A:$A,0)),0))</f>
        <v/>
      </c>
      <c r="AC20" s="10">
        <f>IF(AB20="","",IFERROR(INDEX(每周积分!$V:$V,MATCH(B20,每周积分!$A:$A,0)),""))</f>
        <v/>
      </c>
      <c r="AD20" s="10">
        <f>IF(U20="","",IF(OR(U20="不要用",U20="只用于我自己的头像"),"★形象不可公开",IF(U20="可以但别太丑","只用奖励风格","可正常使用")))</f>
        <v/>
      </c>
      <c r="AE20" s="11" t="n"/>
    </row>
    <row r="21">
      <c r="A21" s="8" t="n"/>
      <c r="B21" s="8" t="n"/>
      <c r="C21" s="8" t="n"/>
      <c r="D21" s="9" t="n"/>
      <c r="E21" s="9" t="n"/>
      <c r="F21" s="9" t="n"/>
      <c r="G21" s="8" t="n"/>
      <c r="H21" s="9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  <c r="T21" s="8" t="n"/>
      <c r="U21" s="9" t="n"/>
      <c r="V21" s="9" t="n"/>
      <c r="W21" s="9" t="n"/>
      <c r="X21" s="8" t="n"/>
      <c r="Y21" s="9" t="n"/>
      <c r="Z21" s="8" t="n"/>
      <c r="AA21" s="10">
        <f>IF(B21="","",B21&amp;".png")</f>
        <v/>
      </c>
      <c r="AB21" s="10">
        <f>IF(B21="","",IFERROR(INDEX(每周积分!$U:$U,MATCH(B21,每周积分!$A:$A,0)),0))</f>
        <v/>
      </c>
      <c r="AC21" s="10">
        <f>IF(AB21="","",IFERROR(INDEX(每周积分!$V:$V,MATCH(B21,每周积分!$A:$A,0)),""))</f>
        <v/>
      </c>
      <c r="AD21" s="10">
        <f>IF(U21="","",IF(OR(U21="不要用",U21="只用于我自己的头像"),"★形象不可公开",IF(U21="可以但别太丑","只用奖励风格","可正常使用")))</f>
        <v/>
      </c>
      <c r="AE21" s="8" t="n"/>
    </row>
    <row r="22">
      <c r="A22" s="11" t="n"/>
      <c r="B22" s="11" t="n"/>
      <c r="C22" s="11" t="n"/>
      <c r="D22" s="12" t="n"/>
      <c r="E22" s="12" t="n"/>
      <c r="F22" s="12" t="n"/>
      <c r="G22" s="11" t="n"/>
      <c r="H22" s="12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2" t="n"/>
      <c r="T22" s="11" t="n"/>
      <c r="U22" s="12" t="n"/>
      <c r="V22" s="12" t="n"/>
      <c r="W22" s="12" t="n"/>
      <c r="X22" s="11" t="n"/>
      <c r="Y22" s="12" t="n"/>
      <c r="Z22" s="11" t="n"/>
      <c r="AA22" s="10">
        <f>IF(B22="","",B22&amp;".png")</f>
        <v/>
      </c>
      <c r="AB22" s="10">
        <f>IF(B22="","",IFERROR(INDEX(每周积分!$U:$U,MATCH(B22,每周积分!$A:$A,0)),0))</f>
        <v/>
      </c>
      <c r="AC22" s="10">
        <f>IF(AB22="","",IFERROR(INDEX(每周积分!$V:$V,MATCH(B22,每周积分!$A:$A,0)),""))</f>
        <v/>
      </c>
      <c r="AD22" s="10">
        <f>IF(U22="","",IF(OR(U22="不要用",U22="只用于我自己的头像"),"★形象不可公开",IF(U22="可以但别太丑","只用奖励风格","可正常使用")))</f>
        <v/>
      </c>
      <c r="AE22" s="11" t="n"/>
    </row>
    <row r="23">
      <c r="A23" s="8" t="n"/>
      <c r="B23" s="8" t="n"/>
      <c r="C23" s="8" t="n"/>
      <c r="D23" s="9" t="n"/>
      <c r="E23" s="9" t="n"/>
      <c r="F23" s="9" t="n"/>
      <c r="G23" s="8" t="n"/>
      <c r="H23" s="9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  <c r="T23" s="8" t="n"/>
      <c r="U23" s="9" t="n"/>
      <c r="V23" s="9" t="n"/>
      <c r="W23" s="9" t="n"/>
      <c r="X23" s="8" t="n"/>
      <c r="Y23" s="9" t="n"/>
      <c r="Z23" s="8" t="n"/>
      <c r="AA23" s="10">
        <f>IF(B23="","",B23&amp;".png")</f>
        <v/>
      </c>
      <c r="AB23" s="10">
        <f>IF(B23="","",IFERROR(INDEX(每周积分!$U:$U,MATCH(B23,每周积分!$A:$A,0)),0))</f>
        <v/>
      </c>
      <c r="AC23" s="10">
        <f>IF(AB23="","",IFERROR(INDEX(每周积分!$V:$V,MATCH(B23,每周积分!$A:$A,0)),""))</f>
        <v/>
      </c>
      <c r="AD23" s="10">
        <f>IF(U23="","",IF(OR(U23="不要用",U23="只用于我自己的头像"),"★形象不可公开",IF(U23="可以但别太丑","只用奖励风格","可正常使用")))</f>
        <v/>
      </c>
      <c r="AE23" s="8" t="n"/>
    </row>
    <row r="24">
      <c r="A24" s="11" t="n"/>
      <c r="B24" s="11" t="n"/>
      <c r="C24" s="11" t="n"/>
      <c r="D24" s="12" t="n"/>
      <c r="E24" s="12" t="n"/>
      <c r="F24" s="12" t="n"/>
      <c r="G24" s="11" t="n"/>
      <c r="H24" s="12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2" t="n"/>
      <c r="T24" s="11" t="n"/>
      <c r="U24" s="12" t="n"/>
      <c r="V24" s="12" t="n"/>
      <c r="W24" s="12" t="n"/>
      <c r="X24" s="11" t="n"/>
      <c r="Y24" s="12" t="n"/>
      <c r="Z24" s="11" t="n"/>
      <c r="AA24" s="10">
        <f>IF(B24="","",B24&amp;".png")</f>
        <v/>
      </c>
      <c r="AB24" s="10">
        <f>IF(B24="","",IFERROR(INDEX(每周积分!$U:$U,MATCH(B24,每周积分!$A:$A,0)),0))</f>
        <v/>
      </c>
      <c r="AC24" s="10">
        <f>IF(AB24="","",IFERROR(INDEX(每周积分!$V:$V,MATCH(B24,每周积分!$A:$A,0)),""))</f>
        <v/>
      </c>
      <c r="AD24" s="10">
        <f>IF(U24="","",IF(OR(U24="不要用",U24="只用于我自己的头像"),"★形象不可公开",IF(U24="可以但别太丑","只用奖励风格","可正常使用")))</f>
        <v/>
      </c>
      <c r="AE24" s="11" t="n"/>
    </row>
    <row r="25">
      <c r="A25" s="8" t="n"/>
      <c r="B25" s="8" t="n"/>
      <c r="C25" s="8" t="n"/>
      <c r="D25" s="9" t="n"/>
      <c r="E25" s="9" t="n"/>
      <c r="F25" s="9" t="n"/>
      <c r="G25" s="8" t="n"/>
      <c r="H25" s="9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  <c r="T25" s="8" t="n"/>
      <c r="U25" s="9" t="n"/>
      <c r="V25" s="9" t="n"/>
      <c r="W25" s="9" t="n"/>
      <c r="X25" s="8" t="n"/>
      <c r="Y25" s="9" t="n"/>
      <c r="Z25" s="8" t="n"/>
      <c r="AA25" s="10">
        <f>IF(B25="","",B25&amp;".png")</f>
        <v/>
      </c>
      <c r="AB25" s="10">
        <f>IF(B25="","",IFERROR(INDEX(每周积分!$U:$U,MATCH(B25,每周积分!$A:$A,0)),0))</f>
        <v/>
      </c>
      <c r="AC25" s="10">
        <f>IF(AB25="","",IFERROR(INDEX(每周积分!$V:$V,MATCH(B25,每周积分!$A:$A,0)),""))</f>
        <v/>
      </c>
      <c r="AD25" s="10">
        <f>IF(U25="","",IF(OR(U25="不要用",U25="只用于我自己的头像"),"★形象不可公开",IF(U25="可以但别太丑","只用奖励风格","可正常使用")))</f>
        <v/>
      </c>
      <c r="AE25" s="8" t="n"/>
    </row>
    <row r="26">
      <c r="A26" s="11" t="n"/>
      <c r="B26" s="11" t="n"/>
      <c r="C26" s="11" t="n"/>
      <c r="D26" s="12" t="n"/>
      <c r="E26" s="12" t="n"/>
      <c r="F26" s="12" t="n"/>
      <c r="G26" s="11" t="n"/>
      <c r="H26" s="12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2" t="n"/>
      <c r="T26" s="11" t="n"/>
      <c r="U26" s="12" t="n"/>
      <c r="V26" s="12" t="n"/>
      <c r="W26" s="12" t="n"/>
      <c r="X26" s="11" t="n"/>
      <c r="Y26" s="12" t="n"/>
      <c r="Z26" s="11" t="n"/>
      <c r="AA26" s="10">
        <f>IF(B26="","",B26&amp;".png")</f>
        <v/>
      </c>
      <c r="AB26" s="10">
        <f>IF(B26="","",IFERROR(INDEX(每周积分!$U:$U,MATCH(B26,每周积分!$A:$A,0)),0))</f>
        <v/>
      </c>
      <c r="AC26" s="10">
        <f>IF(AB26="","",IFERROR(INDEX(每周积分!$V:$V,MATCH(B26,每周积分!$A:$A,0)),""))</f>
        <v/>
      </c>
      <c r="AD26" s="10">
        <f>IF(U26="","",IF(OR(U26="不要用",U26="只用于我自己的头像"),"★形象不可公开",IF(U26="可以但别太丑","只用奖励风格","可正常使用")))</f>
        <v/>
      </c>
      <c r="AE26" s="11" t="n"/>
    </row>
    <row r="27">
      <c r="A27" s="8" t="n"/>
      <c r="B27" s="8" t="n"/>
      <c r="C27" s="8" t="n"/>
      <c r="D27" s="9" t="n"/>
      <c r="E27" s="9" t="n"/>
      <c r="F27" s="9" t="n"/>
      <c r="G27" s="8" t="n"/>
      <c r="H27" s="9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  <c r="T27" s="8" t="n"/>
      <c r="U27" s="9" t="n"/>
      <c r="V27" s="9" t="n"/>
      <c r="W27" s="9" t="n"/>
      <c r="X27" s="8" t="n"/>
      <c r="Y27" s="9" t="n"/>
      <c r="Z27" s="8" t="n"/>
      <c r="AA27" s="10">
        <f>IF(B27="","",B27&amp;".png")</f>
        <v/>
      </c>
      <c r="AB27" s="10">
        <f>IF(B27="","",IFERROR(INDEX(每周积分!$U:$U,MATCH(B27,每周积分!$A:$A,0)),0))</f>
        <v/>
      </c>
      <c r="AC27" s="10">
        <f>IF(AB27="","",IFERROR(INDEX(每周积分!$V:$V,MATCH(B27,每周积分!$A:$A,0)),""))</f>
        <v/>
      </c>
      <c r="AD27" s="10">
        <f>IF(U27="","",IF(OR(U27="不要用",U27="只用于我自己的头像"),"★形象不可公开",IF(U27="可以但别太丑","只用奖励风格","可正常使用")))</f>
        <v/>
      </c>
      <c r="AE27" s="8" t="n"/>
    </row>
    <row r="28">
      <c r="A28" s="11" t="n"/>
      <c r="B28" s="11" t="n"/>
      <c r="C28" s="11" t="n"/>
      <c r="D28" s="12" t="n"/>
      <c r="E28" s="12" t="n"/>
      <c r="F28" s="12" t="n"/>
      <c r="G28" s="11" t="n"/>
      <c r="H28" s="12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2" t="n"/>
      <c r="T28" s="11" t="n"/>
      <c r="U28" s="12" t="n"/>
      <c r="V28" s="12" t="n"/>
      <c r="W28" s="12" t="n"/>
      <c r="X28" s="11" t="n"/>
      <c r="Y28" s="12" t="n"/>
      <c r="Z28" s="11" t="n"/>
      <c r="AA28" s="10">
        <f>IF(B28="","",B28&amp;".png")</f>
        <v/>
      </c>
      <c r="AB28" s="10">
        <f>IF(B28="","",IFERROR(INDEX(每周积分!$U:$U,MATCH(B28,每周积分!$A:$A,0)),0))</f>
        <v/>
      </c>
      <c r="AC28" s="10">
        <f>IF(AB28="","",IFERROR(INDEX(每周积分!$V:$V,MATCH(B28,每周积分!$A:$A,0)),""))</f>
        <v/>
      </c>
      <c r="AD28" s="10">
        <f>IF(U28="","",IF(OR(U28="不要用",U28="只用于我自己的头像"),"★形象不可公开",IF(U28="可以但别太丑","只用奖励风格","可正常使用")))</f>
        <v/>
      </c>
      <c r="AE28" s="11" t="n"/>
    </row>
    <row r="29">
      <c r="A29" s="8" t="n"/>
      <c r="B29" s="8" t="n"/>
      <c r="C29" s="8" t="n"/>
      <c r="D29" s="9" t="n"/>
      <c r="E29" s="9" t="n"/>
      <c r="F29" s="9" t="n"/>
      <c r="G29" s="8" t="n"/>
      <c r="H29" s="9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  <c r="T29" s="8" t="n"/>
      <c r="U29" s="9" t="n"/>
      <c r="V29" s="9" t="n"/>
      <c r="W29" s="9" t="n"/>
      <c r="X29" s="8" t="n"/>
      <c r="Y29" s="9" t="n"/>
      <c r="Z29" s="8" t="n"/>
      <c r="AA29" s="10">
        <f>IF(B29="","",B29&amp;".png")</f>
        <v/>
      </c>
      <c r="AB29" s="10">
        <f>IF(B29="","",IFERROR(INDEX(每周积分!$U:$U,MATCH(B29,每周积分!$A:$A,0)),0))</f>
        <v/>
      </c>
      <c r="AC29" s="10">
        <f>IF(AB29="","",IFERROR(INDEX(每周积分!$V:$V,MATCH(B29,每周积分!$A:$A,0)),""))</f>
        <v/>
      </c>
      <c r="AD29" s="10">
        <f>IF(U29="","",IF(OR(U29="不要用",U29="只用于我自己的头像"),"★形象不可公开",IF(U29="可以但别太丑","只用奖励风格","可正常使用")))</f>
        <v/>
      </c>
      <c r="AE29" s="8" t="n"/>
    </row>
    <row r="30">
      <c r="A30" s="11" t="n"/>
      <c r="B30" s="11" t="n"/>
      <c r="C30" s="11" t="n"/>
      <c r="D30" s="12" t="n"/>
      <c r="E30" s="12" t="n"/>
      <c r="F30" s="12" t="n"/>
      <c r="G30" s="11" t="n"/>
      <c r="H30" s="12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2" t="n"/>
      <c r="T30" s="11" t="n"/>
      <c r="U30" s="12" t="n"/>
      <c r="V30" s="12" t="n"/>
      <c r="W30" s="12" t="n"/>
      <c r="X30" s="11" t="n"/>
      <c r="Y30" s="12" t="n"/>
      <c r="Z30" s="11" t="n"/>
      <c r="AA30" s="10">
        <f>IF(B30="","",B30&amp;".png")</f>
        <v/>
      </c>
      <c r="AB30" s="10">
        <f>IF(B30="","",IFERROR(INDEX(每周积分!$U:$U,MATCH(B30,每周积分!$A:$A,0)),0))</f>
        <v/>
      </c>
      <c r="AC30" s="10">
        <f>IF(AB30="","",IFERROR(INDEX(每周积分!$V:$V,MATCH(B30,每周积分!$A:$A,0)),""))</f>
        <v/>
      </c>
      <c r="AD30" s="10">
        <f>IF(U30="","",IF(OR(U30="不要用",U30="只用于我自己的头像"),"★形象不可公开",IF(U30="可以但别太丑","只用奖励风格","可正常使用")))</f>
        <v/>
      </c>
      <c r="AE30" s="11" t="n"/>
    </row>
    <row r="31">
      <c r="A31" s="8" t="n"/>
      <c r="B31" s="8" t="n"/>
      <c r="C31" s="8" t="n"/>
      <c r="D31" s="9" t="n"/>
      <c r="E31" s="9" t="n"/>
      <c r="F31" s="9" t="n"/>
      <c r="G31" s="8" t="n"/>
      <c r="H31" s="9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  <c r="T31" s="8" t="n"/>
      <c r="U31" s="9" t="n"/>
      <c r="V31" s="9" t="n"/>
      <c r="W31" s="9" t="n"/>
      <c r="X31" s="8" t="n"/>
      <c r="Y31" s="9" t="n"/>
      <c r="Z31" s="8" t="n"/>
      <c r="AA31" s="10">
        <f>IF(B31="","",B31&amp;".png")</f>
        <v/>
      </c>
      <c r="AB31" s="10">
        <f>IF(B31="","",IFERROR(INDEX(每周积分!$U:$U,MATCH(B31,每周积分!$A:$A,0)),0))</f>
        <v/>
      </c>
      <c r="AC31" s="10">
        <f>IF(AB31="","",IFERROR(INDEX(每周积分!$V:$V,MATCH(B31,每周积分!$A:$A,0)),""))</f>
        <v/>
      </c>
      <c r="AD31" s="10">
        <f>IF(U31="","",IF(OR(U31="不要用",U31="只用于我自己的头像"),"★形象不可公开",IF(U31="可以但别太丑","只用奖励风格","可正常使用")))</f>
        <v/>
      </c>
      <c r="AE31" s="8" t="n"/>
    </row>
    <row r="32">
      <c r="A32" s="11" t="n"/>
      <c r="B32" s="11" t="n"/>
      <c r="C32" s="11" t="n"/>
      <c r="D32" s="12" t="n"/>
      <c r="E32" s="12" t="n"/>
      <c r="F32" s="12" t="n"/>
      <c r="G32" s="11" t="n"/>
      <c r="H32" s="12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2" t="n"/>
      <c r="T32" s="11" t="n"/>
      <c r="U32" s="12" t="n"/>
      <c r="V32" s="12" t="n"/>
      <c r="W32" s="12" t="n"/>
      <c r="X32" s="11" t="n"/>
      <c r="Y32" s="12" t="n"/>
      <c r="Z32" s="11" t="n"/>
      <c r="AA32" s="10">
        <f>IF(B32="","",B32&amp;".png")</f>
        <v/>
      </c>
      <c r="AB32" s="10">
        <f>IF(B32="","",IFERROR(INDEX(每周积分!$U:$U,MATCH(B32,每周积分!$A:$A,0)),0))</f>
        <v/>
      </c>
      <c r="AC32" s="10">
        <f>IF(AB32="","",IFERROR(INDEX(每周积分!$V:$V,MATCH(B32,每周积分!$A:$A,0)),""))</f>
        <v/>
      </c>
      <c r="AD32" s="10">
        <f>IF(U32="","",IF(OR(U32="不要用",U32="只用于我自己的头像"),"★形象不可公开",IF(U32="可以但别太丑","只用奖励风格","可正常使用")))</f>
        <v/>
      </c>
      <c r="AE32" s="11" t="n"/>
    </row>
    <row r="33">
      <c r="A33" s="8" t="n"/>
      <c r="B33" s="8" t="n"/>
      <c r="C33" s="8" t="n"/>
      <c r="D33" s="9" t="n"/>
      <c r="E33" s="9" t="n"/>
      <c r="F33" s="9" t="n"/>
      <c r="G33" s="8" t="n"/>
      <c r="H33" s="9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  <c r="T33" s="8" t="n"/>
      <c r="U33" s="9" t="n"/>
      <c r="V33" s="9" t="n"/>
      <c r="W33" s="9" t="n"/>
      <c r="X33" s="8" t="n"/>
      <c r="Y33" s="9" t="n"/>
      <c r="Z33" s="8" t="n"/>
      <c r="AA33" s="10">
        <f>IF(B33="","",B33&amp;".png")</f>
        <v/>
      </c>
      <c r="AB33" s="10">
        <f>IF(B33="","",IFERROR(INDEX(每周积分!$U:$U,MATCH(B33,每周积分!$A:$A,0)),0))</f>
        <v/>
      </c>
      <c r="AC33" s="10">
        <f>IF(AB33="","",IFERROR(INDEX(每周积分!$V:$V,MATCH(B33,每周积分!$A:$A,0)),""))</f>
        <v/>
      </c>
      <c r="AD33" s="10">
        <f>IF(U33="","",IF(OR(U33="不要用",U33="只用于我自己的头像"),"★形象不可公开",IF(U33="可以但别太丑","只用奖励风格","可正常使用")))</f>
        <v/>
      </c>
      <c r="AE33" s="8" t="n"/>
    </row>
    <row r="34">
      <c r="A34" s="11" t="n"/>
      <c r="B34" s="11" t="n"/>
      <c r="C34" s="11" t="n"/>
      <c r="D34" s="12" t="n"/>
      <c r="E34" s="12" t="n"/>
      <c r="F34" s="12" t="n"/>
      <c r="G34" s="11" t="n"/>
      <c r="H34" s="12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2" t="n"/>
      <c r="T34" s="11" t="n"/>
      <c r="U34" s="12" t="n"/>
      <c r="V34" s="12" t="n"/>
      <c r="W34" s="12" t="n"/>
      <c r="X34" s="11" t="n"/>
      <c r="Y34" s="12" t="n"/>
      <c r="Z34" s="11" t="n"/>
      <c r="AA34" s="10">
        <f>IF(B34="","",B34&amp;".png")</f>
        <v/>
      </c>
      <c r="AB34" s="10">
        <f>IF(B34="","",IFERROR(INDEX(每周积分!$U:$U,MATCH(B34,每周积分!$A:$A,0)),0))</f>
        <v/>
      </c>
      <c r="AC34" s="10">
        <f>IF(AB34="","",IFERROR(INDEX(每周积分!$V:$V,MATCH(B34,每周积分!$A:$A,0)),""))</f>
        <v/>
      </c>
      <c r="AD34" s="10">
        <f>IF(U34="","",IF(OR(U34="不要用",U34="只用于我自己的头像"),"★形象不可公开",IF(U34="可以但别太丑","只用奖励风格","可正常使用")))</f>
        <v/>
      </c>
      <c r="AE34" s="11" t="n"/>
    </row>
    <row r="35">
      <c r="A35" s="8" t="n"/>
      <c r="B35" s="8" t="n"/>
      <c r="C35" s="8" t="n"/>
      <c r="D35" s="9" t="n"/>
      <c r="E35" s="9" t="n"/>
      <c r="F35" s="9" t="n"/>
      <c r="G35" s="8" t="n"/>
      <c r="H35" s="9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  <c r="T35" s="8" t="n"/>
      <c r="U35" s="9" t="n"/>
      <c r="V35" s="9" t="n"/>
      <c r="W35" s="9" t="n"/>
      <c r="X35" s="8" t="n"/>
      <c r="Y35" s="9" t="n"/>
      <c r="Z35" s="8" t="n"/>
      <c r="AA35" s="10">
        <f>IF(B35="","",B35&amp;".png")</f>
        <v/>
      </c>
      <c r="AB35" s="10">
        <f>IF(B35="","",IFERROR(INDEX(每周积分!$U:$U,MATCH(B35,每周积分!$A:$A,0)),0))</f>
        <v/>
      </c>
      <c r="AC35" s="10">
        <f>IF(AB35="","",IFERROR(INDEX(每周积分!$V:$V,MATCH(B35,每周积分!$A:$A,0)),""))</f>
        <v/>
      </c>
      <c r="AD35" s="10">
        <f>IF(U35="","",IF(OR(U35="不要用",U35="只用于我自己的头像"),"★形象不可公开",IF(U35="可以但别太丑","只用奖励风格","可正常使用")))</f>
        <v/>
      </c>
      <c r="AE35" s="8" t="n"/>
    </row>
    <row r="36">
      <c r="A36" s="11" t="n"/>
      <c r="B36" s="11" t="n"/>
      <c r="C36" s="11" t="n"/>
      <c r="D36" s="12" t="n"/>
      <c r="E36" s="12" t="n"/>
      <c r="F36" s="12" t="n"/>
      <c r="G36" s="11" t="n"/>
      <c r="H36" s="12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2" t="n"/>
      <c r="T36" s="11" t="n"/>
      <c r="U36" s="12" t="n"/>
      <c r="V36" s="12" t="n"/>
      <c r="W36" s="12" t="n"/>
      <c r="X36" s="11" t="n"/>
      <c r="Y36" s="12" t="n"/>
      <c r="Z36" s="11" t="n"/>
      <c r="AA36" s="10">
        <f>IF(B36="","",B36&amp;".png")</f>
        <v/>
      </c>
      <c r="AB36" s="10">
        <f>IF(B36="","",IFERROR(INDEX(每周积分!$U:$U,MATCH(B36,每周积分!$A:$A,0)),0))</f>
        <v/>
      </c>
      <c r="AC36" s="10">
        <f>IF(AB36="","",IFERROR(INDEX(每周积分!$V:$V,MATCH(B36,每周积分!$A:$A,0)),""))</f>
        <v/>
      </c>
      <c r="AD36" s="10">
        <f>IF(U36="","",IF(OR(U36="不要用",U36="只用于我自己的头像"),"★形象不可公开",IF(U36="可以但别太丑","只用奖励风格","可正常使用")))</f>
        <v/>
      </c>
      <c r="AE36" s="11" t="n"/>
    </row>
    <row r="37">
      <c r="A37" s="8" t="n"/>
      <c r="B37" s="8" t="n"/>
      <c r="C37" s="8" t="n"/>
      <c r="D37" s="9" t="n"/>
      <c r="E37" s="9" t="n"/>
      <c r="F37" s="9" t="n"/>
      <c r="G37" s="8" t="n"/>
      <c r="H37" s="9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  <c r="T37" s="8" t="n"/>
      <c r="U37" s="9" t="n"/>
      <c r="V37" s="9" t="n"/>
      <c r="W37" s="9" t="n"/>
      <c r="X37" s="8" t="n"/>
      <c r="Y37" s="9" t="n"/>
      <c r="Z37" s="8" t="n"/>
      <c r="AA37" s="10">
        <f>IF(B37="","",B37&amp;".png")</f>
        <v/>
      </c>
      <c r="AB37" s="10">
        <f>IF(B37="","",IFERROR(INDEX(每周积分!$U:$U,MATCH(B37,每周积分!$A:$A,0)),0))</f>
        <v/>
      </c>
      <c r="AC37" s="10">
        <f>IF(AB37="","",IFERROR(INDEX(每周积分!$V:$V,MATCH(B37,每周积分!$A:$A,0)),""))</f>
        <v/>
      </c>
      <c r="AD37" s="10">
        <f>IF(U37="","",IF(OR(U37="不要用",U37="只用于我自己的头像"),"★形象不可公开",IF(U37="可以但别太丑","只用奖励风格","可正常使用")))</f>
        <v/>
      </c>
      <c r="AE37" s="8" t="n"/>
    </row>
    <row r="38">
      <c r="A38" s="11" t="n"/>
      <c r="B38" s="11" t="n"/>
      <c r="C38" s="11" t="n"/>
      <c r="D38" s="12" t="n"/>
      <c r="E38" s="12" t="n"/>
      <c r="F38" s="12" t="n"/>
      <c r="G38" s="11" t="n"/>
      <c r="H38" s="12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2" t="n"/>
      <c r="T38" s="11" t="n"/>
      <c r="U38" s="12" t="n"/>
      <c r="V38" s="12" t="n"/>
      <c r="W38" s="12" t="n"/>
      <c r="X38" s="11" t="n"/>
      <c r="Y38" s="12" t="n"/>
      <c r="Z38" s="11" t="n"/>
      <c r="AA38" s="10">
        <f>IF(B38="","",B38&amp;".png")</f>
        <v/>
      </c>
      <c r="AB38" s="10">
        <f>IF(B38="","",IFERROR(INDEX(每周积分!$U:$U,MATCH(B38,每周积分!$A:$A,0)),0))</f>
        <v/>
      </c>
      <c r="AC38" s="10">
        <f>IF(AB38="","",IFERROR(INDEX(每周积分!$V:$V,MATCH(B38,每周积分!$A:$A,0)),""))</f>
        <v/>
      </c>
      <c r="AD38" s="10">
        <f>IF(U38="","",IF(OR(U38="不要用",U38="只用于我自己的头像"),"★形象不可公开",IF(U38="可以但别太丑","只用奖励风格","可正常使用")))</f>
        <v/>
      </c>
      <c r="AE38" s="11" t="n"/>
    </row>
    <row r="39">
      <c r="A39" s="8" t="n"/>
      <c r="B39" s="8" t="n"/>
      <c r="C39" s="8" t="n"/>
      <c r="D39" s="9" t="n"/>
      <c r="E39" s="9" t="n"/>
      <c r="F39" s="9" t="n"/>
      <c r="G39" s="8" t="n"/>
      <c r="H39" s="9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  <c r="T39" s="8" t="n"/>
      <c r="U39" s="9" t="n"/>
      <c r="V39" s="9" t="n"/>
      <c r="W39" s="9" t="n"/>
      <c r="X39" s="8" t="n"/>
      <c r="Y39" s="9" t="n"/>
      <c r="Z39" s="8" t="n"/>
      <c r="AA39" s="10">
        <f>IF(B39="","",B39&amp;".png")</f>
        <v/>
      </c>
      <c r="AB39" s="10">
        <f>IF(B39="","",IFERROR(INDEX(每周积分!$U:$U,MATCH(B39,每周积分!$A:$A,0)),0))</f>
        <v/>
      </c>
      <c r="AC39" s="10">
        <f>IF(AB39="","",IFERROR(INDEX(每周积分!$V:$V,MATCH(B39,每周积分!$A:$A,0)),""))</f>
        <v/>
      </c>
      <c r="AD39" s="10">
        <f>IF(U39="","",IF(OR(U39="不要用",U39="只用于我自己的头像"),"★形象不可公开",IF(U39="可以但别太丑","只用奖励风格","可正常使用")))</f>
        <v/>
      </c>
      <c r="AE39" s="8" t="n"/>
    </row>
    <row r="40">
      <c r="A40" s="11" t="n"/>
      <c r="B40" s="11" t="n"/>
      <c r="C40" s="11" t="n"/>
      <c r="D40" s="12" t="n"/>
      <c r="E40" s="12" t="n"/>
      <c r="F40" s="12" t="n"/>
      <c r="G40" s="11" t="n"/>
      <c r="H40" s="12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2" t="n"/>
      <c r="T40" s="11" t="n"/>
      <c r="U40" s="12" t="n"/>
      <c r="V40" s="12" t="n"/>
      <c r="W40" s="12" t="n"/>
      <c r="X40" s="11" t="n"/>
      <c r="Y40" s="12" t="n"/>
      <c r="Z40" s="11" t="n"/>
      <c r="AA40" s="10">
        <f>IF(B40="","",B40&amp;".png")</f>
        <v/>
      </c>
      <c r="AB40" s="10">
        <f>IF(B40="","",IFERROR(INDEX(每周积分!$U:$U,MATCH(B40,每周积分!$A:$A,0)),0))</f>
        <v/>
      </c>
      <c r="AC40" s="10">
        <f>IF(AB40="","",IFERROR(INDEX(每周积分!$V:$V,MATCH(B40,每周积分!$A:$A,0)),""))</f>
        <v/>
      </c>
      <c r="AD40" s="10">
        <f>IF(U40="","",IF(OR(U40="不要用",U40="只用于我自己的头像"),"★形象不可公开",IF(U40="可以但别太丑","只用奖励风格","可正常使用")))</f>
        <v/>
      </c>
      <c r="AE40" s="11" t="n"/>
    </row>
    <row r="41">
      <c r="A41" s="8" t="n"/>
      <c r="B41" s="8" t="n"/>
      <c r="C41" s="8" t="n"/>
      <c r="D41" s="9" t="n"/>
      <c r="E41" s="9" t="n"/>
      <c r="F41" s="9" t="n"/>
      <c r="G41" s="8" t="n"/>
      <c r="H41" s="9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  <c r="T41" s="8" t="n"/>
      <c r="U41" s="9" t="n"/>
      <c r="V41" s="9" t="n"/>
      <c r="W41" s="9" t="n"/>
      <c r="X41" s="8" t="n"/>
      <c r="Y41" s="9" t="n"/>
      <c r="Z41" s="8" t="n"/>
      <c r="AA41" s="10">
        <f>IF(B41="","",B41&amp;".png")</f>
        <v/>
      </c>
      <c r="AB41" s="10">
        <f>IF(B41="","",IFERROR(INDEX(每周积分!$U:$U,MATCH(B41,每周积分!$A:$A,0)),0))</f>
        <v/>
      </c>
      <c r="AC41" s="10">
        <f>IF(AB41="","",IFERROR(INDEX(每周积分!$V:$V,MATCH(B41,每周积分!$A:$A,0)),""))</f>
        <v/>
      </c>
      <c r="AD41" s="10">
        <f>IF(U41="","",IF(OR(U41="不要用",U41="只用于我自己的头像"),"★形象不可公开",IF(U41="可以但别太丑","只用奖励风格","可正常使用")))</f>
        <v/>
      </c>
      <c r="AE41" s="8" t="n"/>
    </row>
    <row r="42">
      <c r="A42" s="11" t="n"/>
      <c r="B42" s="11" t="n"/>
      <c r="C42" s="11" t="n"/>
      <c r="D42" s="12" t="n"/>
      <c r="E42" s="12" t="n"/>
      <c r="F42" s="12" t="n"/>
      <c r="G42" s="11" t="n"/>
      <c r="H42" s="12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2" t="n"/>
      <c r="T42" s="11" t="n"/>
      <c r="U42" s="12" t="n"/>
      <c r="V42" s="12" t="n"/>
      <c r="W42" s="12" t="n"/>
      <c r="X42" s="11" t="n"/>
      <c r="Y42" s="12" t="n"/>
      <c r="Z42" s="11" t="n"/>
      <c r="AA42" s="10">
        <f>IF(B42="","",B42&amp;".png")</f>
        <v/>
      </c>
      <c r="AB42" s="10">
        <f>IF(B42="","",IFERROR(INDEX(每周积分!$U:$U,MATCH(B42,每周积分!$A:$A,0)),0))</f>
        <v/>
      </c>
      <c r="AC42" s="10">
        <f>IF(AB42="","",IFERROR(INDEX(每周积分!$V:$V,MATCH(B42,每周积分!$A:$A,0)),""))</f>
        <v/>
      </c>
      <c r="AD42" s="10">
        <f>IF(U42="","",IF(OR(U42="不要用",U42="只用于我自己的头像"),"★形象不可公开",IF(U42="可以但别太丑","只用奖励风格","可正常使用")))</f>
        <v/>
      </c>
      <c r="AE42" s="11" t="n"/>
    </row>
    <row r="43">
      <c r="A43" s="8" t="n"/>
      <c r="B43" s="8" t="n"/>
      <c r="C43" s="8" t="n"/>
      <c r="D43" s="9" t="n"/>
      <c r="E43" s="9" t="n"/>
      <c r="F43" s="9" t="n"/>
      <c r="G43" s="8" t="n"/>
      <c r="H43" s="9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  <c r="T43" s="8" t="n"/>
      <c r="U43" s="9" t="n"/>
      <c r="V43" s="9" t="n"/>
      <c r="W43" s="9" t="n"/>
      <c r="X43" s="8" t="n"/>
      <c r="Y43" s="9" t="n"/>
      <c r="Z43" s="8" t="n"/>
      <c r="AA43" s="10">
        <f>IF(B43="","",B43&amp;".png")</f>
        <v/>
      </c>
      <c r="AB43" s="10">
        <f>IF(B43="","",IFERROR(INDEX(每周积分!$U:$U,MATCH(B43,每周积分!$A:$A,0)),0))</f>
        <v/>
      </c>
      <c r="AC43" s="10">
        <f>IF(AB43="","",IFERROR(INDEX(每周积分!$V:$V,MATCH(B43,每周积分!$A:$A,0)),""))</f>
        <v/>
      </c>
      <c r="AD43" s="10">
        <f>IF(U43="","",IF(OR(U43="不要用",U43="只用于我自己的头像"),"★形象不可公开",IF(U43="可以但别太丑","只用奖励风格","可正常使用")))</f>
        <v/>
      </c>
      <c r="AE43" s="8" t="n"/>
    </row>
    <row r="44">
      <c r="A44" s="11" t="n"/>
      <c r="B44" s="11" t="n"/>
      <c r="C44" s="11" t="n"/>
      <c r="D44" s="12" t="n"/>
      <c r="E44" s="12" t="n"/>
      <c r="F44" s="12" t="n"/>
      <c r="G44" s="11" t="n"/>
      <c r="H44" s="12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2" t="n"/>
      <c r="T44" s="11" t="n"/>
      <c r="U44" s="12" t="n"/>
      <c r="V44" s="12" t="n"/>
      <c r="W44" s="12" t="n"/>
      <c r="X44" s="11" t="n"/>
      <c r="Y44" s="12" t="n"/>
      <c r="Z44" s="11" t="n"/>
      <c r="AA44" s="10">
        <f>IF(B44="","",B44&amp;".png")</f>
        <v/>
      </c>
      <c r="AB44" s="10">
        <f>IF(B44="","",IFERROR(INDEX(每周积分!$U:$U,MATCH(B44,每周积分!$A:$A,0)),0))</f>
        <v/>
      </c>
      <c r="AC44" s="10">
        <f>IF(AB44="","",IFERROR(INDEX(每周积分!$V:$V,MATCH(B44,每周积分!$A:$A,0)),""))</f>
        <v/>
      </c>
      <c r="AD44" s="10">
        <f>IF(U44="","",IF(OR(U44="不要用",U44="只用于我自己的头像"),"★形象不可公开",IF(U44="可以但别太丑","只用奖励风格","可正常使用")))</f>
        <v/>
      </c>
      <c r="AE44" s="11" t="n"/>
    </row>
    <row r="45">
      <c r="A45" s="8" t="n"/>
      <c r="B45" s="8" t="n"/>
      <c r="C45" s="8" t="n"/>
      <c r="D45" s="9" t="n"/>
      <c r="E45" s="9" t="n"/>
      <c r="F45" s="9" t="n"/>
      <c r="G45" s="8" t="n"/>
      <c r="H45" s="9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  <c r="T45" s="8" t="n"/>
      <c r="U45" s="9" t="n"/>
      <c r="V45" s="9" t="n"/>
      <c r="W45" s="9" t="n"/>
      <c r="X45" s="8" t="n"/>
      <c r="Y45" s="9" t="n"/>
      <c r="Z45" s="8" t="n"/>
      <c r="AA45" s="10">
        <f>IF(B45="","",B45&amp;".png")</f>
        <v/>
      </c>
      <c r="AB45" s="10">
        <f>IF(B45="","",IFERROR(INDEX(每周积分!$U:$U,MATCH(B45,每周积分!$A:$A,0)),0))</f>
        <v/>
      </c>
      <c r="AC45" s="10">
        <f>IF(AB45="","",IFERROR(INDEX(每周积分!$V:$V,MATCH(B45,每周积分!$A:$A,0)),""))</f>
        <v/>
      </c>
      <c r="AD45" s="10">
        <f>IF(U45="","",IF(OR(U45="不要用",U45="只用于我自己的头像"),"★形象不可公开",IF(U45="可以但别太丑","只用奖励风格","可正常使用")))</f>
        <v/>
      </c>
      <c r="AE45" s="8" t="n"/>
    </row>
    <row r="46">
      <c r="A46" s="11" t="n"/>
      <c r="B46" s="11" t="n"/>
      <c r="C46" s="11" t="n"/>
      <c r="D46" s="12" t="n"/>
      <c r="E46" s="12" t="n"/>
      <c r="F46" s="12" t="n"/>
      <c r="G46" s="11" t="n"/>
      <c r="H46" s="12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2" t="n"/>
      <c r="T46" s="11" t="n"/>
      <c r="U46" s="12" t="n"/>
      <c r="V46" s="12" t="n"/>
      <c r="W46" s="12" t="n"/>
      <c r="X46" s="11" t="n"/>
      <c r="Y46" s="12" t="n"/>
      <c r="Z46" s="11" t="n"/>
      <c r="AA46" s="10">
        <f>IF(B46="","",B46&amp;".png")</f>
        <v/>
      </c>
      <c r="AB46" s="10">
        <f>IF(B46="","",IFERROR(INDEX(每周积分!$U:$U,MATCH(B46,每周积分!$A:$A,0)),0))</f>
        <v/>
      </c>
      <c r="AC46" s="10">
        <f>IF(AB46="","",IFERROR(INDEX(每周积分!$V:$V,MATCH(B46,每周积分!$A:$A,0)),""))</f>
        <v/>
      </c>
      <c r="AD46" s="10">
        <f>IF(U46="","",IF(OR(U46="不要用",U46="只用于我自己的头像"),"★形象不可公开",IF(U46="可以但别太丑","只用奖励风格","可正常使用")))</f>
        <v/>
      </c>
      <c r="AE46" s="11" t="n"/>
    </row>
    <row r="47">
      <c r="A47" s="8" t="n"/>
      <c r="B47" s="8" t="n"/>
      <c r="C47" s="8" t="n"/>
      <c r="D47" s="9" t="n"/>
      <c r="E47" s="9" t="n"/>
      <c r="F47" s="9" t="n"/>
      <c r="G47" s="8" t="n"/>
      <c r="H47" s="9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  <c r="T47" s="8" t="n"/>
      <c r="U47" s="9" t="n"/>
      <c r="V47" s="9" t="n"/>
      <c r="W47" s="9" t="n"/>
      <c r="X47" s="8" t="n"/>
      <c r="Y47" s="9" t="n"/>
      <c r="Z47" s="8" t="n"/>
      <c r="AA47" s="10">
        <f>IF(B47="","",B47&amp;".png")</f>
        <v/>
      </c>
      <c r="AB47" s="10">
        <f>IF(B47="","",IFERROR(INDEX(每周积分!$U:$U,MATCH(B47,每周积分!$A:$A,0)),0))</f>
        <v/>
      </c>
      <c r="AC47" s="10">
        <f>IF(AB47="","",IFERROR(INDEX(每周积分!$V:$V,MATCH(B47,每周积分!$A:$A,0)),""))</f>
        <v/>
      </c>
      <c r="AD47" s="10">
        <f>IF(U47="","",IF(OR(U47="不要用",U47="只用于我自己的头像"),"★形象不可公开",IF(U47="可以但别太丑","只用奖励风格","可正常使用")))</f>
        <v/>
      </c>
      <c r="AE47" s="8" t="n"/>
    </row>
    <row r="48">
      <c r="A48" s="11" t="n"/>
      <c r="B48" s="11" t="n"/>
      <c r="C48" s="11" t="n"/>
      <c r="D48" s="12" t="n"/>
      <c r="E48" s="12" t="n"/>
      <c r="F48" s="12" t="n"/>
      <c r="G48" s="11" t="n"/>
      <c r="H48" s="12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2" t="n"/>
      <c r="T48" s="11" t="n"/>
      <c r="U48" s="12" t="n"/>
      <c r="V48" s="12" t="n"/>
      <c r="W48" s="12" t="n"/>
      <c r="X48" s="11" t="n"/>
      <c r="Y48" s="12" t="n"/>
      <c r="Z48" s="11" t="n"/>
      <c r="AA48" s="10">
        <f>IF(B48="","",B48&amp;".png")</f>
        <v/>
      </c>
      <c r="AB48" s="10">
        <f>IF(B48="","",IFERROR(INDEX(每周积分!$U:$U,MATCH(B48,每周积分!$A:$A,0)),0))</f>
        <v/>
      </c>
      <c r="AC48" s="10">
        <f>IF(AB48="","",IFERROR(INDEX(每周积分!$V:$V,MATCH(B48,每周积分!$A:$A,0)),""))</f>
        <v/>
      </c>
      <c r="AD48" s="10">
        <f>IF(U48="","",IF(OR(U48="不要用",U48="只用于我自己的头像"),"★形象不可公开",IF(U48="可以但别太丑","只用奖励风格","可正常使用")))</f>
        <v/>
      </c>
      <c r="AE48" s="11" t="n"/>
    </row>
    <row r="49">
      <c r="A49" s="8" t="n"/>
      <c r="B49" s="8" t="n"/>
      <c r="C49" s="8" t="n"/>
      <c r="D49" s="9" t="n"/>
      <c r="E49" s="9" t="n"/>
      <c r="F49" s="9" t="n"/>
      <c r="G49" s="8" t="n"/>
      <c r="H49" s="9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  <c r="T49" s="8" t="n"/>
      <c r="U49" s="9" t="n"/>
      <c r="V49" s="9" t="n"/>
      <c r="W49" s="9" t="n"/>
      <c r="X49" s="8" t="n"/>
      <c r="Y49" s="9" t="n"/>
      <c r="Z49" s="8" t="n"/>
      <c r="AA49" s="10">
        <f>IF(B49="","",B49&amp;".png")</f>
        <v/>
      </c>
      <c r="AB49" s="10">
        <f>IF(B49="","",IFERROR(INDEX(每周积分!$U:$U,MATCH(B49,每周积分!$A:$A,0)),0))</f>
        <v/>
      </c>
      <c r="AC49" s="10">
        <f>IF(AB49="","",IFERROR(INDEX(每周积分!$V:$V,MATCH(B49,每周积分!$A:$A,0)),""))</f>
        <v/>
      </c>
      <c r="AD49" s="10">
        <f>IF(U49="","",IF(OR(U49="不要用",U49="只用于我自己的头像"),"★形象不可公开",IF(U49="可以但别太丑","只用奖励风格","可正常使用")))</f>
        <v/>
      </c>
      <c r="AE49" s="8" t="n"/>
    </row>
    <row r="50">
      <c r="A50" s="11" t="n"/>
      <c r="B50" s="11" t="n"/>
      <c r="C50" s="11" t="n"/>
      <c r="D50" s="12" t="n"/>
      <c r="E50" s="12" t="n"/>
      <c r="F50" s="12" t="n"/>
      <c r="G50" s="11" t="n"/>
      <c r="H50" s="12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2" t="n"/>
      <c r="T50" s="11" t="n"/>
      <c r="U50" s="12" t="n"/>
      <c r="V50" s="12" t="n"/>
      <c r="W50" s="12" t="n"/>
      <c r="X50" s="11" t="n"/>
      <c r="Y50" s="12" t="n"/>
      <c r="Z50" s="11" t="n"/>
      <c r="AA50" s="10">
        <f>IF(B50="","",B50&amp;".png")</f>
        <v/>
      </c>
      <c r="AB50" s="10">
        <f>IF(B50="","",IFERROR(INDEX(每周积分!$U:$U,MATCH(B50,每周积分!$A:$A,0)),0))</f>
        <v/>
      </c>
      <c r="AC50" s="10">
        <f>IF(AB50="","",IFERROR(INDEX(每周积分!$V:$V,MATCH(B50,每周积分!$A:$A,0)),""))</f>
        <v/>
      </c>
      <c r="AD50" s="10">
        <f>IF(U50="","",IF(OR(U50="不要用",U50="只用于我自己的头像"),"★形象不可公开",IF(U50="可以但别太丑","只用奖励风格","可正常使用")))</f>
        <v/>
      </c>
      <c r="AE50" s="11" t="n"/>
    </row>
    <row r="51">
      <c r="A51" s="8" t="n"/>
      <c r="B51" s="8" t="n"/>
      <c r="C51" s="8" t="n"/>
      <c r="D51" s="9" t="n"/>
      <c r="E51" s="9" t="n"/>
      <c r="F51" s="9" t="n"/>
      <c r="G51" s="8" t="n"/>
      <c r="H51" s="9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  <c r="T51" s="8" t="n"/>
      <c r="U51" s="9" t="n"/>
      <c r="V51" s="9" t="n"/>
      <c r="W51" s="9" t="n"/>
      <c r="X51" s="8" t="n"/>
      <c r="Y51" s="9" t="n"/>
      <c r="Z51" s="8" t="n"/>
      <c r="AA51" s="10">
        <f>IF(B51="","",B51&amp;".png")</f>
        <v/>
      </c>
      <c r="AB51" s="10">
        <f>IF(B51="","",IFERROR(INDEX(每周积分!$U:$U,MATCH(B51,每周积分!$A:$A,0)),0))</f>
        <v/>
      </c>
      <c r="AC51" s="10">
        <f>IF(AB51="","",IFERROR(INDEX(每周积分!$V:$V,MATCH(B51,每周积分!$A:$A,0)),""))</f>
        <v/>
      </c>
      <c r="AD51" s="10">
        <f>IF(U51="","",IF(OR(U51="不要用",U51="只用于我自己的头像"),"★形象不可公开",IF(U51="可以但别太丑","只用奖励风格","可正常使用")))</f>
        <v/>
      </c>
      <c r="AE51" s="8" t="n"/>
    </row>
    <row r="52">
      <c r="A52" s="11" t="n"/>
      <c r="B52" s="11" t="n"/>
      <c r="C52" s="11" t="n"/>
      <c r="D52" s="12" t="n"/>
      <c r="E52" s="12" t="n"/>
      <c r="F52" s="12" t="n"/>
      <c r="G52" s="11" t="n"/>
      <c r="H52" s="12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2" t="n"/>
      <c r="T52" s="11" t="n"/>
      <c r="U52" s="12" t="n"/>
      <c r="V52" s="12" t="n"/>
      <c r="W52" s="12" t="n"/>
      <c r="X52" s="11" t="n"/>
      <c r="Y52" s="12" t="n"/>
      <c r="Z52" s="11" t="n"/>
      <c r="AA52" s="10">
        <f>IF(B52="","",B52&amp;".png")</f>
        <v/>
      </c>
      <c r="AB52" s="10">
        <f>IF(B52="","",IFERROR(INDEX(每周积分!$U:$U,MATCH(B52,每周积分!$A:$A,0)),0))</f>
        <v/>
      </c>
      <c r="AC52" s="10">
        <f>IF(AB52="","",IFERROR(INDEX(每周积分!$V:$V,MATCH(B52,每周积分!$A:$A,0)),""))</f>
        <v/>
      </c>
      <c r="AD52" s="10">
        <f>IF(U52="","",IF(OR(U52="不要用",U52="只用于我自己的头像"),"★形象不可公开",IF(U52="可以但别太丑","只用奖励风格","可正常使用")))</f>
        <v/>
      </c>
      <c r="AE52" s="11" t="n"/>
    </row>
  </sheetData>
  <autoFilter ref="A2:AE2"/>
  <mergeCells count="1">
    <mergeCell ref="A1:AE1"/>
  </mergeCells>
  <conditionalFormatting sqref="AD3:AD52">
    <cfRule type="expression" priority="1" dxfId="0">
      <formula>ISNUMBER(SEARCH("不可公开",AD3))</formula>
    </cfRule>
  </conditionalFormatting>
  <dataValidations count="6">
    <dataValidation sqref="D3:D52" showDropDown="0" showInputMessage="0" showErrorMessage="0" allowBlank="1" errorTitle="请用下拉" error="请从下拉列表里选，不要自己改字" promptTitle="单选" prompt="点右边箭头选择" type="list">
      <formula1>选项库!$A$3:$A$6</formula1>
    </dataValidation>
    <dataValidation sqref="E3:E52" showDropDown="0" showInputMessage="0" showErrorMessage="0" allowBlank="1" errorTitle="请用下拉" error="请从下拉列表里选，不要自己改字" promptTitle="单选" prompt="点右边箭头选择" type="list">
      <formula1>选项库!$B$3:$B$6</formula1>
    </dataValidation>
    <dataValidation sqref="H3:H52" showDropDown="0" showInputMessage="0" showErrorMessage="0" allowBlank="1" errorTitle="请用下拉" error="请从下拉列表里选，不要自己改字" promptTitle="单选" prompt="点右边箭头选择" type="list">
      <formula1>选项库!$D$3:$D$5</formula1>
    </dataValidation>
    <dataValidation sqref="S3:S52" showDropDown="0" showInputMessage="0" showErrorMessage="0" allowBlank="1" errorTitle="请用下拉" error="请从下拉列表里选，不要自己改字" promptTitle="单选" prompt="点右边箭头选择" type="list">
      <formula1>选项库!$E$3:$E$6</formula1>
    </dataValidation>
    <dataValidation sqref="U3:U52" showDropDown="0" showInputMessage="0" showErrorMessage="0" allowBlank="1" errorTitle="请用下拉" error="请从下拉列表里选，不要自己改字" promptTitle="单选" prompt="点右边箭头选择" type="list">
      <formula1>选项库!$F$3:$F$6</formula1>
    </dataValidation>
    <dataValidation sqref="Y3:Y52" showDropDown="0" showInputMessage="0" showErrorMessage="0" allowBlank="1" type="date"/>
  </dataValidations>
  <pageMargins left="0.75" right="0.75" top="1" bottom="1" header="0.5" footer="0.5"/>
  <pageSetup orientation="landscape" paperSize="9" fitToHeight="1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X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6" customWidth="1" min="22" max="22"/>
    <col width="14" customWidth="1" min="23" max="23"/>
    <col width="8" customWidth="1" min="24" max="24"/>
  </cols>
  <sheetData>
    <row r="1" ht="48" customHeight="1">
      <c r="A1" s="4" t="inlineStr">
        <is>
          <t>每个学生每周一个数。用「本周计算器」加好再粘过来（只粘贴数值）。X1 填当前周次，给「本周之星」算进步。累计、等级是公式，不要手改。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13" t="inlineStr">
        <is>
          <t>当前周次 →</t>
        </is>
      </c>
      <c r="X1" s="14" t="n">
        <v>1</v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第1周</t>
        </is>
      </c>
      <c r="D2" s="6" t="inlineStr">
        <is>
          <t>第2周</t>
        </is>
      </c>
      <c r="E2" s="6" t="inlineStr">
        <is>
          <t>第3周</t>
        </is>
      </c>
      <c r="F2" s="6" t="inlineStr">
        <is>
          <t>第4周</t>
        </is>
      </c>
      <c r="G2" s="6" t="inlineStr">
        <is>
          <t>第5周</t>
        </is>
      </c>
      <c r="H2" s="6" t="inlineStr">
        <is>
          <t>第6周</t>
        </is>
      </c>
      <c r="I2" s="6" t="inlineStr">
        <is>
          <t>第7周</t>
        </is>
      </c>
      <c r="J2" s="6" t="inlineStr">
        <is>
          <t>第8周</t>
        </is>
      </c>
      <c r="K2" s="6" t="inlineStr">
        <is>
          <t>第9周</t>
        </is>
      </c>
      <c r="L2" s="6" t="inlineStr">
        <is>
          <t>第10周</t>
        </is>
      </c>
      <c r="M2" s="6" t="inlineStr">
        <is>
          <t>第11周</t>
        </is>
      </c>
      <c r="N2" s="6" t="inlineStr">
        <is>
          <t>第12周</t>
        </is>
      </c>
      <c r="O2" s="6" t="inlineStr">
        <is>
          <t>第13周</t>
        </is>
      </c>
      <c r="P2" s="6" t="inlineStr">
        <is>
          <t>第14周</t>
        </is>
      </c>
      <c r="Q2" s="6" t="inlineStr">
        <is>
          <t>第15周</t>
        </is>
      </c>
      <c r="R2" s="6" t="inlineStr">
        <is>
          <t>第16周</t>
        </is>
      </c>
      <c r="S2" s="6" t="inlineStr">
        <is>
          <t>第17周</t>
        </is>
      </c>
      <c r="T2" s="6" t="inlineStr">
        <is>
          <t>第18周</t>
        </is>
      </c>
      <c r="U2" s="6" t="inlineStr">
        <is>
          <t>累计</t>
        </is>
      </c>
      <c r="V2" s="6" t="inlineStr">
        <is>
          <t>当前等级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>
        <f>IF(A3="","",SUM(C3:T3))</f>
        <v/>
      </c>
      <c r="V3" s="17">
        <f>IF(U3="","",IF(U3&gt;=80,"Lv5 CFO",IF(U3&gt;=50,"Lv4 主管会计",IF(U3&gt;=30,"Lv3 记账会计",IF(U3&gt;=15,"Lv2 出纳","Lv1 实习生")))))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>
        <f>IF(A4="","",SUM(C4:T4))</f>
        <v/>
      </c>
      <c r="V4" s="17">
        <f>IF(U4="","",IF(U4&gt;=80,"Lv5 CFO",IF(U4&gt;=50,"Lv4 主管会计",IF(U4&gt;=30,"Lv3 记账会计",IF(U4&gt;=15,"Lv2 出纳","Lv1 实习生")))))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>
        <f>IF(A5="","",SUM(C5:T5))</f>
        <v/>
      </c>
      <c r="V5" s="17">
        <f>IF(U5="","",IF(U5&gt;=80,"Lv5 CFO",IF(U5&gt;=50,"Lv4 主管会计",IF(U5&gt;=30,"Lv3 记账会计",IF(U5&gt;=15,"Lv2 出纳","Lv1 实习生")))))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>
        <f>IF(A6="","",SUM(C6:T6))</f>
        <v/>
      </c>
      <c r="V6" s="17">
        <f>IF(U6="","",IF(U6&gt;=80,"Lv5 CFO",IF(U6&gt;=50,"Lv4 主管会计",IF(U6&gt;=30,"Lv3 记账会计",IF(U6&gt;=15,"Lv2 出纳","Lv1 实习生")))))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>
        <f>IF(A7="","",SUM(C7:T7))</f>
        <v/>
      </c>
      <c r="V7" s="17">
        <f>IF(U7="","",IF(U7&gt;=80,"Lv5 CFO",IF(U7&gt;=50,"Lv4 主管会计",IF(U7&gt;=30,"Lv3 记账会计",IF(U7&gt;=15,"Lv2 出纳","Lv1 实习生")))))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>
        <f>IF(A8="","",SUM(C8:T8))</f>
        <v/>
      </c>
      <c r="V8" s="17">
        <f>IF(U8="","",IF(U8&gt;=80,"Lv5 CFO",IF(U8&gt;=50,"Lv4 主管会计",IF(U8&gt;=30,"Lv3 记账会计",IF(U8&gt;=15,"Lv2 出纳","Lv1 实习生")))))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>
        <f>IF(A9="","",SUM(C9:T9))</f>
        <v/>
      </c>
      <c r="V9" s="17">
        <f>IF(U9="","",IF(U9&gt;=80,"Lv5 CFO",IF(U9&gt;=50,"Lv4 主管会计",IF(U9&gt;=30,"Lv3 记账会计",IF(U9&gt;=15,"Lv2 出纳","Lv1 实习生")))))</f>
        <v/>
      </c>
    </row>
    <row r="10">
      <c r="A10" s="15">
        <f>IF(学生档案!B10="","",学生档案!B10)</f>
        <v/>
      </c>
      <c r="B10" s="15">
        <f>IF(学生档案!C10="","",学生档案!C10)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>
        <f>IF(A10="","",SUM(C10:T10))</f>
        <v/>
      </c>
      <c r="V10" s="17">
        <f>IF(U10="","",IF(U10&gt;=80,"Lv5 CFO",IF(U10&gt;=50,"Lv4 主管会计",IF(U10&gt;=30,"Lv3 记账会计",IF(U10&gt;=15,"Lv2 出纳","Lv1 实习生")))))</f>
        <v/>
      </c>
    </row>
    <row r="11">
      <c r="A11" s="15">
        <f>IF(学生档案!B11="","",学生档案!B11)</f>
        <v/>
      </c>
      <c r="B11" s="15">
        <f>IF(学生档案!C11="","",学生档案!C11)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>
        <f>IF(A11="","",SUM(C11:T11))</f>
        <v/>
      </c>
      <c r="V11" s="17">
        <f>IF(U11="","",IF(U11&gt;=80,"Lv5 CFO",IF(U11&gt;=50,"Lv4 主管会计",IF(U11&gt;=30,"Lv3 记账会计",IF(U11&gt;=15,"Lv2 出纳","Lv1 实习生")))))</f>
        <v/>
      </c>
    </row>
    <row r="12">
      <c r="A12" s="15">
        <f>IF(学生档案!B12="","",学生档案!B12)</f>
        <v/>
      </c>
      <c r="B12" s="15">
        <f>IF(学生档案!C12="","",学生档案!C12)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>
        <f>IF(A12="","",SUM(C12:T12))</f>
        <v/>
      </c>
      <c r="V12" s="17">
        <f>IF(U12="","",IF(U12&gt;=80,"Lv5 CFO",IF(U12&gt;=50,"Lv4 主管会计",IF(U12&gt;=30,"Lv3 记账会计",IF(U12&gt;=15,"Lv2 出纳","Lv1 实习生")))))</f>
        <v/>
      </c>
    </row>
    <row r="13">
      <c r="A13" s="15">
        <f>IF(学生档案!B13="","",学生档案!B13)</f>
        <v/>
      </c>
      <c r="B13" s="15">
        <f>IF(学生档案!C13="","",学生档案!C13)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>
        <f>IF(A13="","",SUM(C13:T13))</f>
        <v/>
      </c>
      <c r="V13" s="17">
        <f>IF(U13="","",IF(U13&gt;=80,"Lv5 CFO",IF(U13&gt;=50,"Lv4 主管会计",IF(U13&gt;=30,"Lv3 记账会计",IF(U13&gt;=15,"Lv2 出纳","Lv1 实习生")))))</f>
        <v/>
      </c>
    </row>
    <row r="14">
      <c r="A14" s="15">
        <f>IF(学生档案!B14="","",学生档案!B14)</f>
        <v/>
      </c>
      <c r="B14" s="15">
        <f>IF(学生档案!C14="","",学生档案!C14)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>
        <f>IF(A14="","",SUM(C14:T14))</f>
        <v/>
      </c>
      <c r="V14" s="17">
        <f>IF(U14="","",IF(U14&gt;=80,"Lv5 CFO",IF(U14&gt;=50,"Lv4 主管会计",IF(U14&gt;=30,"Lv3 记账会计",IF(U14&gt;=15,"Lv2 出纳","Lv1 实习生")))))</f>
        <v/>
      </c>
    </row>
    <row r="15">
      <c r="A15" s="15">
        <f>IF(学生档案!B15="","",学生档案!B15)</f>
        <v/>
      </c>
      <c r="B15" s="15">
        <f>IF(学生档案!C15="","",学生档案!C15)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>
        <f>IF(A15="","",SUM(C15:T15))</f>
        <v/>
      </c>
      <c r="V15" s="17">
        <f>IF(U15="","",IF(U15&gt;=80,"Lv5 CFO",IF(U15&gt;=50,"Lv4 主管会计",IF(U15&gt;=30,"Lv3 记账会计",IF(U15&gt;=15,"Lv2 出纳","Lv1 实习生")))))</f>
        <v/>
      </c>
    </row>
    <row r="16">
      <c r="A16" s="15">
        <f>IF(学生档案!B16="","",学生档案!B16)</f>
        <v/>
      </c>
      <c r="B16" s="15">
        <f>IF(学生档案!C16="","",学生档案!C16)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>
        <f>IF(A16="","",SUM(C16:T16))</f>
        <v/>
      </c>
      <c r="V16" s="17">
        <f>IF(U16="","",IF(U16&gt;=80,"Lv5 CFO",IF(U16&gt;=50,"Lv4 主管会计",IF(U16&gt;=30,"Lv3 记账会计",IF(U16&gt;=15,"Lv2 出纳","Lv1 实习生")))))</f>
        <v/>
      </c>
    </row>
    <row r="17">
      <c r="A17" s="15">
        <f>IF(学生档案!B17="","",学生档案!B17)</f>
        <v/>
      </c>
      <c r="B17" s="15">
        <f>IF(学生档案!C17="","",学生档案!C17)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>
        <f>IF(A17="","",SUM(C17:T17))</f>
        <v/>
      </c>
      <c r="V17" s="17">
        <f>IF(U17="","",IF(U17&gt;=80,"Lv5 CFO",IF(U17&gt;=50,"Lv4 主管会计",IF(U17&gt;=30,"Lv3 记账会计",IF(U17&gt;=15,"Lv2 出纳","Lv1 实习生")))))</f>
        <v/>
      </c>
    </row>
    <row r="18">
      <c r="A18" s="15">
        <f>IF(学生档案!B18="","",学生档案!B18)</f>
        <v/>
      </c>
      <c r="B18" s="15">
        <f>IF(学生档案!C18="","",学生档案!C18)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>
        <f>IF(A18="","",SUM(C18:T18))</f>
        <v/>
      </c>
      <c r="V18" s="17">
        <f>IF(U18="","",IF(U18&gt;=80,"Lv5 CFO",IF(U18&gt;=50,"Lv4 主管会计",IF(U18&gt;=30,"Lv3 记账会计",IF(U18&gt;=15,"Lv2 出纳","Lv1 实习生")))))</f>
        <v/>
      </c>
    </row>
    <row r="19">
      <c r="A19" s="15">
        <f>IF(学生档案!B19="","",学生档案!B19)</f>
        <v/>
      </c>
      <c r="B19" s="15">
        <f>IF(学生档案!C19="","",学生档案!C19)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>
        <f>IF(A19="","",SUM(C19:T19))</f>
        <v/>
      </c>
      <c r="V19" s="17">
        <f>IF(U19="","",IF(U19&gt;=80,"Lv5 CFO",IF(U19&gt;=50,"Lv4 主管会计",IF(U19&gt;=30,"Lv3 记账会计",IF(U19&gt;=15,"Lv2 出纳","Lv1 实习生")))))</f>
        <v/>
      </c>
    </row>
    <row r="20">
      <c r="A20" s="15">
        <f>IF(学生档案!B20="","",学生档案!B20)</f>
        <v/>
      </c>
      <c r="B20" s="15">
        <f>IF(学生档案!C20="","",学生档案!C20)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>
        <f>IF(A20="","",SUM(C20:T20))</f>
        <v/>
      </c>
      <c r="V20" s="17">
        <f>IF(U20="","",IF(U20&gt;=80,"Lv5 CFO",IF(U20&gt;=50,"Lv4 主管会计",IF(U20&gt;=30,"Lv3 记账会计",IF(U20&gt;=15,"Lv2 出纳","Lv1 实习生")))))</f>
        <v/>
      </c>
    </row>
    <row r="21">
      <c r="A21" s="15">
        <f>IF(学生档案!B21="","",学生档案!B21)</f>
        <v/>
      </c>
      <c r="B21" s="15">
        <f>IF(学生档案!C21="","",学生档案!C21)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>
        <f>IF(A21="","",SUM(C21:T21))</f>
        <v/>
      </c>
      <c r="V21" s="17">
        <f>IF(U21="","",IF(U21&gt;=80,"Lv5 CFO",IF(U21&gt;=50,"Lv4 主管会计",IF(U21&gt;=30,"Lv3 记账会计",IF(U21&gt;=15,"Lv2 出纳","Lv1 实习生")))))</f>
        <v/>
      </c>
    </row>
    <row r="22">
      <c r="A22" s="15">
        <f>IF(学生档案!B22="","",学生档案!B22)</f>
        <v/>
      </c>
      <c r="B22" s="15">
        <f>IF(学生档案!C22="","",学生档案!C22)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>
        <f>IF(A22="","",SUM(C22:T22))</f>
        <v/>
      </c>
      <c r="V22" s="17">
        <f>IF(U22="","",IF(U22&gt;=80,"Lv5 CFO",IF(U22&gt;=50,"Lv4 主管会计",IF(U22&gt;=30,"Lv3 记账会计",IF(U22&gt;=15,"Lv2 出纳","Lv1 实习生")))))</f>
        <v/>
      </c>
    </row>
    <row r="23">
      <c r="A23" s="15">
        <f>IF(学生档案!B23="","",学生档案!B23)</f>
        <v/>
      </c>
      <c r="B23" s="15">
        <f>IF(学生档案!C23="","",学生档案!C23)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>
        <f>IF(A23="","",SUM(C23:T23))</f>
        <v/>
      </c>
      <c r="V23" s="17">
        <f>IF(U23="","",IF(U23&gt;=80,"Lv5 CFO",IF(U23&gt;=50,"Lv4 主管会计",IF(U23&gt;=30,"Lv3 记账会计",IF(U23&gt;=15,"Lv2 出纳","Lv1 实习生")))))</f>
        <v/>
      </c>
    </row>
    <row r="24">
      <c r="A24" s="15">
        <f>IF(学生档案!B24="","",学生档案!B24)</f>
        <v/>
      </c>
      <c r="B24" s="15">
        <f>IF(学生档案!C24="","",学生档案!C24)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>
        <f>IF(A24="","",SUM(C24:T24))</f>
        <v/>
      </c>
      <c r="V24" s="17">
        <f>IF(U24="","",IF(U24&gt;=80,"Lv5 CFO",IF(U24&gt;=50,"Lv4 主管会计",IF(U24&gt;=30,"Lv3 记账会计",IF(U24&gt;=15,"Lv2 出纳","Lv1 实习生")))))</f>
        <v/>
      </c>
    </row>
    <row r="25">
      <c r="A25" s="15">
        <f>IF(学生档案!B25="","",学生档案!B25)</f>
        <v/>
      </c>
      <c r="B25" s="15">
        <f>IF(学生档案!C25="","",学生档案!C25)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>
        <f>IF(A25="","",SUM(C25:T25))</f>
        <v/>
      </c>
      <c r="V25" s="17">
        <f>IF(U25="","",IF(U25&gt;=80,"Lv5 CFO",IF(U25&gt;=50,"Lv4 主管会计",IF(U25&gt;=30,"Lv3 记账会计",IF(U25&gt;=15,"Lv2 出纳","Lv1 实习生")))))</f>
        <v/>
      </c>
    </row>
    <row r="26">
      <c r="A26" s="15">
        <f>IF(学生档案!B26="","",学生档案!B26)</f>
        <v/>
      </c>
      <c r="B26" s="15">
        <f>IF(学生档案!C26="","",学生档案!C26)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>
        <f>IF(A26="","",SUM(C26:T26))</f>
        <v/>
      </c>
      <c r="V26" s="17">
        <f>IF(U26="","",IF(U26&gt;=80,"Lv5 CFO",IF(U26&gt;=50,"Lv4 主管会计",IF(U26&gt;=30,"Lv3 记账会计",IF(U26&gt;=15,"Lv2 出纳","Lv1 实习生")))))</f>
        <v/>
      </c>
    </row>
    <row r="27">
      <c r="A27" s="15">
        <f>IF(学生档案!B27="","",学生档案!B27)</f>
        <v/>
      </c>
      <c r="B27" s="15">
        <f>IF(学生档案!C27="","",学生档案!C27)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>
        <f>IF(A27="","",SUM(C27:T27))</f>
        <v/>
      </c>
      <c r="V27" s="17">
        <f>IF(U27="","",IF(U27&gt;=80,"Lv5 CFO",IF(U27&gt;=50,"Lv4 主管会计",IF(U27&gt;=30,"Lv3 记账会计",IF(U27&gt;=15,"Lv2 出纳","Lv1 实习生")))))</f>
        <v/>
      </c>
    </row>
    <row r="28">
      <c r="A28" s="15">
        <f>IF(学生档案!B28="","",学生档案!B28)</f>
        <v/>
      </c>
      <c r="B28" s="15">
        <f>IF(学生档案!C28="","",学生档案!C28)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>
        <f>IF(A28="","",SUM(C28:T28))</f>
        <v/>
      </c>
      <c r="V28" s="17">
        <f>IF(U28="","",IF(U28&gt;=80,"Lv5 CFO",IF(U28&gt;=50,"Lv4 主管会计",IF(U28&gt;=30,"Lv3 记账会计",IF(U28&gt;=15,"Lv2 出纳","Lv1 实习生")))))</f>
        <v/>
      </c>
    </row>
    <row r="29">
      <c r="A29" s="15">
        <f>IF(学生档案!B29="","",学生档案!B29)</f>
        <v/>
      </c>
      <c r="B29" s="15">
        <f>IF(学生档案!C29="","",学生档案!C29)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>
        <f>IF(A29="","",SUM(C29:T29))</f>
        <v/>
      </c>
      <c r="V29" s="17">
        <f>IF(U29="","",IF(U29&gt;=80,"Lv5 CFO",IF(U29&gt;=50,"Lv4 主管会计",IF(U29&gt;=30,"Lv3 记账会计",IF(U29&gt;=15,"Lv2 出纳","Lv1 实习生")))))</f>
        <v/>
      </c>
    </row>
    <row r="30">
      <c r="A30" s="15">
        <f>IF(学生档案!B30="","",学生档案!B30)</f>
        <v/>
      </c>
      <c r="B30" s="15">
        <f>IF(学生档案!C30="","",学生档案!C30)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>
        <f>IF(A30="","",SUM(C30:T30))</f>
        <v/>
      </c>
      <c r="V30" s="17">
        <f>IF(U30="","",IF(U30&gt;=80,"Lv5 CFO",IF(U30&gt;=50,"Lv4 主管会计",IF(U30&gt;=30,"Lv3 记账会计",IF(U30&gt;=15,"Lv2 出纳","Lv1 实习生")))))</f>
        <v/>
      </c>
    </row>
    <row r="31">
      <c r="A31" s="15">
        <f>IF(学生档案!B31="","",学生档案!B31)</f>
        <v/>
      </c>
      <c r="B31" s="15">
        <f>IF(学生档案!C31="","",学生档案!C31)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>
        <f>IF(A31="","",SUM(C31:T31))</f>
        <v/>
      </c>
      <c r="V31" s="17">
        <f>IF(U31="","",IF(U31&gt;=80,"Lv5 CFO",IF(U31&gt;=50,"Lv4 主管会计",IF(U31&gt;=30,"Lv3 记账会计",IF(U31&gt;=15,"Lv2 出纳","Lv1 实习生")))))</f>
        <v/>
      </c>
    </row>
    <row r="32">
      <c r="A32" s="15">
        <f>IF(学生档案!B32="","",学生档案!B32)</f>
        <v/>
      </c>
      <c r="B32" s="15">
        <f>IF(学生档案!C32="","",学生档案!C32)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>
        <f>IF(A32="","",SUM(C32:T32))</f>
        <v/>
      </c>
      <c r="V32" s="17">
        <f>IF(U32="","",IF(U32&gt;=80,"Lv5 CFO",IF(U32&gt;=50,"Lv4 主管会计",IF(U32&gt;=30,"Lv3 记账会计",IF(U32&gt;=15,"Lv2 出纳","Lv1 实习生")))))</f>
        <v/>
      </c>
    </row>
    <row r="33">
      <c r="A33" s="15">
        <f>IF(学生档案!B33="","",学生档案!B33)</f>
        <v/>
      </c>
      <c r="B33" s="15">
        <f>IF(学生档案!C33="","",学生档案!C33)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>
        <f>IF(A33="","",SUM(C33:T33))</f>
        <v/>
      </c>
      <c r="V33" s="17">
        <f>IF(U33="","",IF(U33&gt;=80,"Lv5 CFO",IF(U33&gt;=50,"Lv4 主管会计",IF(U33&gt;=30,"Lv3 记账会计",IF(U33&gt;=15,"Lv2 出纳","Lv1 实习生")))))</f>
        <v/>
      </c>
    </row>
    <row r="34">
      <c r="A34" s="15">
        <f>IF(学生档案!B34="","",学生档案!B34)</f>
        <v/>
      </c>
      <c r="B34" s="15">
        <f>IF(学生档案!C34="","",学生档案!C34)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>
        <f>IF(A34="","",SUM(C34:T34))</f>
        <v/>
      </c>
      <c r="V34" s="17">
        <f>IF(U34="","",IF(U34&gt;=80,"Lv5 CFO",IF(U34&gt;=50,"Lv4 主管会计",IF(U34&gt;=30,"Lv3 记账会计",IF(U34&gt;=15,"Lv2 出纳","Lv1 实习生")))))</f>
        <v/>
      </c>
    </row>
    <row r="35">
      <c r="A35" s="15">
        <f>IF(学生档案!B35="","",学生档案!B35)</f>
        <v/>
      </c>
      <c r="B35" s="15">
        <f>IF(学生档案!C35="","",学生档案!C35)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>
        <f>IF(A35="","",SUM(C35:T35))</f>
        <v/>
      </c>
      <c r="V35" s="17">
        <f>IF(U35="","",IF(U35&gt;=80,"Lv5 CFO",IF(U35&gt;=50,"Lv4 主管会计",IF(U35&gt;=30,"Lv3 记账会计",IF(U35&gt;=15,"Lv2 出纳","Lv1 实习生")))))</f>
        <v/>
      </c>
    </row>
    <row r="36">
      <c r="A36" s="15">
        <f>IF(学生档案!B36="","",学生档案!B36)</f>
        <v/>
      </c>
      <c r="B36" s="15">
        <f>IF(学生档案!C36="","",学生档案!C36)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>
        <f>IF(A36="","",SUM(C36:T36))</f>
        <v/>
      </c>
      <c r="V36" s="17">
        <f>IF(U36="","",IF(U36&gt;=80,"Lv5 CFO",IF(U36&gt;=50,"Lv4 主管会计",IF(U36&gt;=30,"Lv3 记账会计",IF(U36&gt;=15,"Lv2 出纳","Lv1 实习生")))))</f>
        <v/>
      </c>
    </row>
    <row r="37">
      <c r="A37" s="15">
        <f>IF(学生档案!B37="","",学生档案!B37)</f>
        <v/>
      </c>
      <c r="B37" s="15">
        <f>IF(学生档案!C37="","",学生档案!C37)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>
        <f>IF(A37="","",SUM(C37:T37))</f>
        <v/>
      </c>
      <c r="V37" s="17">
        <f>IF(U37="","",IF(U37&gt;=80,"Lv5 CFO",IF(U37&gt;=50,"Lv4 主管会计",IF(U37&gt;=30,"Lv3 记账会计",IF(U37&gt;=15,"Lv2 出纳","Lv1 实习生")))))</f>
        <v/>
      </c>
    </row>
    <row r="38">
      <c r="A38" s="15">
        <f>IF(学生档案!B38="","",学生档案!B38)</f>
        <v/>
      </c>
      <c r="B38" s="15">
        <f>IF(学生档案!C38="","",学生档案!C38)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>
        <f>IF(A38="","",SUM(C38:T38))</f>
        <v/>
      </c>
      <c r="V38" s="17">
        <f>IF(U38="","",IF(U38&gt;=80,"Lv5 CFO",IF(U38&gt;=50,"Lv4 主管会计",IF(U38&gt;=30,"Lv3 记账会计",IF(U38&gt;=15,"Lv2 出纳","Lv1 实习生")))))</f>
        <v/>
      </c>
    </row>
    <row r="39">
      <c r="A39" s="15">
        <f>IF(学生档案!B39="","",学生档案!B39)</f>
        <v/>
      </c>
      <c r="B39" s="15">
        <f>IF(学生档案!C39="","",学生档案!C39)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>
        <f>IF(A39="","",SUM(C39:T39))</f>
        <v/>
      </c>
      <c r="V39" s="17">
        <f>IF(U39="","",IF(U39&gt;=80,"Lv5 CFO",IF(U39&gt;=50,"Lv4 主管会计",IF(U39&gt;=30,"Lv3 记账会计",IF(U39&gt;=15,"Lv2 出纳","Lv1 实习生")))))</f>
        <v/>
      </c>
    </row>
    <row r="40">
      <c r="A40" s="15">
        <f>IF(学生档案!B40="","",学生档案!B40)</f>
        <v/>
      </c>
      <c r="B40" s="15">
        <f>IF(学生档案!C40="","",学生档案!C40)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>
        <f>IF(A40="","",SUM(C40:T40))</f>
        <v/>
      </c>
      <c r="V40" s="17">
        <f>IF(U40="","",IF(U40&gt;=80,"Lv5 CFO",IF(U40&gt;=50,"Lv4 主管会计",IF(U40&gt;=30,"Lv3 记账会计",IF(U40&gt;=15,"Lv2 出纳","Lv1 实习生")))))</f>
        <v/>
      </c>
    </row>
    <row r="41">
      <c r="A41" s="15">
        <f>IF(学生档案!B41="","",学生档案!B41)</f>
        <v/>
      </c>
      <c r="B41" s="15">
        <f>IF(学生档案!C41="","",学生档案!C41)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>
        <f>IF(A41="","",SUM(C41:T41))</f>
        <v/>
      </c>
      <c r="V41" s="17">
        <f>IF(U41="","",IF(U41&gt;=80,"Lv5 CFO",IF(U41&gt;=50,"Lv4 主管会计",IF(U41&gt;=30,"Lv3 记账会计",IF(U41&gt;=15,"Lv2 出纳","Lv1 实习生")))))</f>
        <v/>
      </c>
    </row>
    <row r="42">
      <c r="A42" s="15">
        <f>IF(学生档案!B42="","",学生档案!B42)</f>
        <v/>
      </c>
      <c r="B42" s="15">
        <f>IF(学生档案!C42="","",学生档案!C42)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>
        <f>IF(A42="","",SUM(C42:T42))</f>
        <v/>
      </c>
      <c r="V42" s="17">
        <f>IF(U42="","",IF(U42&gt;=80,"Lv5 CFO",IF(U42&gt;=50,"Lv4 主管会计",IF(U42&gt;=30,"Lv3 记账会计",IF(U42&gt;=15,"Lv2 出纳","Lv1 实习生")))))</f>
        <v/>
      </c>
    </row>
    <row r="43">
      <c r="A43" s="15">
        <f>IF(学生档案!B43="","",学生档案!B43)</f>
        <v/>
      </c>
      <c r="B43" s="15">
        <f>IF(学生档案!C43="","",学生档案!C43)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>
        <f>IF(A43="","",SUM(C43:T43))</f>
        <v/>
      </c>
      <c r="V43" s="17">
        <f>IF(U43="","",IF(U43&gt;=80,"Lv5 CFO",IF(U43&gt;=50,"Lv4 主管会计",IF(U43&gt;=30,"Lv3 记账会计",IF(U43&gt;=15,"Lv2 出纳","Lv1 实习生")))))</f>
        <v/>
      </c>
    </row>
    <row r="44">
      <c r="A44" s="15">
        <f>IF(学生档案!B44="","",学生档案!B44)</f>
        <v/>
      </c>
      <c r="B44" s="15">
        <f>IF(学生档案!C44="","",学生档案!C44)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>
        <f>IF(A44="","",SUM(C44:T44))</f>
        <v/>
      </c>
      <c r="V44" s="17">
        <f>IF(U44="","",IF(U44&gt;=80,"Lv5 CFO",IF(U44&gt;=50,"Lv4 主管会计",IF(U44&gt;=30,"Lv3 记账会计",IF(U44&gt;=15,"Lv2 出纳","Lv1 实习生")))))</f>
        <v/>
      </c>
    </row>
    <row r="45">
      <c r="A45" s="15">
        <f>IF(学生档案!B45="","",学生档案!B45)</f>
        <v/>
      </c>
      <c r="B45" s="15">
        <f>IF(学生档案!C45="","",学生档案!C45)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>
        <f>IF(A45="","",SUM(C45:T45))</f>
        <v/>
      </c>
      <c r="V45" s="17">
        <f>IF(U45="","",IF(U45&gt;=80,"Lv5 CFO",IF(U45&gt;=50,"Lv4 主管会计",IF(U45&gt;=30,"Lv3 记账会计",IF(U45&gt;=15,"Lv2 出纳","Lv1 实习生")))))</f>
        <v/>
      </c>
    </row>
    <row r="46">
      <c r="A46" s="15">
        <f>IF(学生档案!B46="","",学生档案!B46)</f>
        <v/>
      </c>
      <c r="B46" s="15">
        <f>IF(学生档案!C46="","",学生档案!C46)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>
        <f>IF(A46="","",SUM(C46:T46))</f>
        <v/>
      </c>
      <c r="V46" s="17">
        <f>IF(U46="","",IF(U46&gt;=80,"Lv5 CFO",IF(U46&gt;=50,"Lv4 主管会计",IF(U46&gt;=30,"Lv3 记账会计",IF(U46&gt;=15,"Lv2 出纳","Lv1 实习生")))))</f>
        <v/>
      </c>
    </row>
    <row r="47">
      <c r="A47" s="15">
        <f>IF(学生档案!B47="","",学生档案!B47)</f>
        <v/>
      </c>
      <c r="B47" s="15">
        <f>IF(学生档案!C47="","",学生档案!C47)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>
        <f>IF(A47="","",SUM(C47:T47))</f>
        <v/>
      </c>
      <c r="V47" s="17">
        <f>IF(U47="","",IF(U47&gt;=80,"Lv5 CFO",IF(U47&gt;=50,"Lv4 主管会计",IF(U47&gt;=30,"Lv3 记账会计",IF(U47&gt;=15,"Lv2 出纳","Lv1 实习生")))))</f>
        <v/>
      </c>
    </row>
    <row r="48">
      <c r="A48" s="15">
        <f>IF(学生档案!B48="","",学生档案!B48)</f>
        <v/>
      </c>
      <c r="B48" s="15">
        <f>IF(学生档案!C48="","",学生档案!C48)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>
        <f>IF(A48="","",SUM(C48:T48))</f>
        <v/>
      </c>
      <c r="V48" s="17">
        <f>IF(U48="","",IF(U48&gt;=80,"Lv5 CFO",IF(U48&gt;=50,"Lv4 主管会计",IF(U48&gt;=30,"Lv3 记账会计",IF(U48&gt;=15,"Lv2 出纳","Lv1 实习生")))))</f>
        <v/>
      </c>
    </row>
    <row r="49">
      <c r="A49" s="15">
        <f>IF(学生档案!B49="","",学生档案!B49)</f>
        <v/>
      </c>
      <c r="B49" s="15">
        <f>IF(学生档案!C49="","",学生档案!C49)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>
        <f>IF(A49="","",SUM(C49:T49))</f>
        <v/>
      </c>
      <c r="V49" s="17">
        <f>IF(U49="","",IF(U49&gt;=80,"Lv5 CFO",IF(U49&gt;=50,"Lv4 主管会计",IF(U49&gt;=30,"Lv3 记账会计",IF(U49&gt;=15,"Lv2 出纳","Lv1 实习生")))))</f>
        <v/>
      </c>
    </row>
    <row r="50">
      <c r="A50" s="15">
        <f>IF(学生档案!B50="","",学生档案!B50)</f>
        <v/>
      </c>
      <c r="B50" s="15">
        <f>IF(学生档案!C50="","",学生档案!C50)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>
        <f>IF(A50="","",SUM(C50:T50))</f>
        <v/>
      </c>
      <c r="V50" s="17">
        <f>IF(U50="","",IF(U50&gt;=80,"Lv5 CFO",IF(U50&gt;=50,"Lv4 主管会计",IF(U50&gt;=30,"Lv3 记账会计",IF(U50&gt;=15,"Lv2 出纳","Lv1 实习生")))))</f>
        <v/>
      </c>
    </row>
    <row r="51">
      <c r="A51" s="15">
        <f>IF(学生档案!B51="","",学生档案!B51)</f>
        <v/>
      </c>
      <c r="B51" s="15">
        <f>IF(学生档案!C51="","",学生档案!C51)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>
        <f>IF(A51="","",SUM(C51:T51))</f>
        <v/>
      </c>
      <c r="V51" s="17">
        <f>IF(U51="","",IF(U51&gt;=80,"Lv5 CFO",IF(U51&gt;=50,"Lv4 主管会计",IF(U51&gt;=30,"Lv3 记账会计",IF(U51&gt;=15,"Lv2 出纳","Lv1 实习生")))))</f>
        <v/>
      </c>
    </row>
    <row r="52">
      <c r="A52" s="15">
        <f>IF(学生档案!B52="","",学生档案!B52)</f>
        <v/>
      </c>
      <c r="B52" s="15">
        <f>IF(学生档案!C52="","",学生档案!C52)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>
        <f>IF(A52="","",SUM(C52:T52))</f>
        <v/>
      </c>
      <c r="V52" s="17">
        <f>IF(U52="","",IF(U52&gt;=80,"Lv5 CFO",IF(U52&gt;=50,"Lv4 主管会计",IF(U52&gt;=30,"Lv3 记账会计",IF(U52&gt;=15,"Lv2 出纳","Lv1 实习生")))))</f>
        <v/>
      </c>
    </row>
    <row r="53">
      <c r="A53" s="18" t="inlineStr">
        <is>
          <t>等级门槛按课堂真实分值重定：15 出纳 / 30 记账会计 / 50 主管会计 / 80 CFO。旧表 120/260/420/600 是打地鼠高分时代的，和现在「一题最多 5 分」对不上。</t>
        </is>
      </c>
    </row>
  </sheetData>
  <mergeCells count="2">
    <mergeCell ref="A53:V53"/>
    <mergeCell ref="A1:V1"/>
  </mergeCells>
  <dataValidations count="1">
    <dataValidation sqref="X1" showDropDown="0" showInputMessage="0" showErrorMessage="0" allowBlank="0" type="whole" operator="between">
      <formula1>1</formula1>
      <formula2>18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U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22" customWidth="1" min="8" max="8"/>
    <col width="12" customWidth="1" min="10" max="10"/>
    <col width="1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2" customWidth="1" min="19" max="19"/>
    <col width="8" customWidth="1" min="20" max="20"/>
    <col width="10" customWidth="1" min="21" max="21"/>
  </cols>
  <sheetData>
    <row r="1" ht="48" customHeight="1">
      <c r="A1" s="4" t="inlineStr">
        <is>
          <t>本周算分草稿纸。左：每人三路分自动/手填。右：粘贴两个 CSV。算完把 G 列「本周合计」复制为数值，粘到「每周积分」对应周。作业：没交0 / 交了2 / 认真5，一周最多两次。课堂已用 90-B2 加过的题，不要再当作业加。</t>
        </is>
      </c>
      <c r="B1" s="5" t="n"/>
      <c r="C1" s="5" t="n"/>
      <c r="D1" s="5" t="n"/>
      <c r="E1" s="5" t="n"/>
      <c r="F1" s="5" t="n"/>
      <c r="G1" s="5" t="n"/>
      <c r="H1" s="5" t="n"/>
      <c r="J1" s="19" t="inlineStr">
        <is>
          <t>打地鼠 CSV 粘贴区（含表头。标准列：日期,姓名,难度,得分,答对,答错,用时秒,错题）</t>
        </is>
      </c>
      <c r="S1" s="19" t="inlineStr">
        <is>
          <t>课堂计分 CSV「本节汇总」粘贴区（表头：姓名,组号,本节合计）。不要粘上面的流水明细。</t>
        </is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课堂分_90B2</t>
        </is>
      </c>
      <c r="D2" s="6" t="inlineStr">
        <is>
          <t>打地鼠_90B1</t>
        </is>
      </c>
      <c r="E2" s="6" t="inlineStr">
        <is>
          <t>作业1</t>
        </is>
      </c>
      <c r="F2" s="6" t="inlineStr">
        <is>
          <t>作业2</t>
        </is>
      </c>
      <c r="G2" s="6" t="inlineStr">
        <is>
          <t>本周合计</t>
        </is>
      </c>
      <c r="H2" s="6" t="inlineStr">
        <is>
          <t>构成</t>
        </is>
      </c>
      <c r="J2" s="20" t="inlineStr">
        <is>
          <t>日期</t>
        </is>
      </c>
      <c r="K2" s="20" t="inlineStr">
        <is>
          <t>姓名</t>
        </is>
      </c>
      <c r="L2" s="20" t="inlineStr">
        <is>
          <t>难度</t>
        </is>
      </c>
      <c r="M2" s="20" t="inlineStr">
        <is>
          <t>得分</t>
        </is>
      </c>
      <c r="N2" s="20" t="inlineStr">
        <is>
          <t>答对</t>
        </is>
      </c>
      <c r="O2" s="20" t="inlineStr">
        <is>
          <t>答错</t>
        </is>
      </c>
      <c r="P2" s="20" t="inlineStr">
        <is>
          <t>用时秒</t>
        </is>
      </c>
      <c r="Q2" s="20" t="inlineStr">
        <is>
          <t>错题</t>
        </is>
      </c>
      <c r="S2" s="21" t="inlineStr">
        <is>
          <t>姓名</t>
        </is>
      </c>
      <c r="T2" s="21" t="inlineStr">
        <is>
          <t>组号</t>
        </is>
      </c>
      <c r="U2" s="21" t="inlineStr">
        <is>
          <t>本节合计</t>
        </is>
      </c>
    </row>
    <row r="3">
      <c r="A3" s="15">
        <f>IF(每周积分!A3="","",每周积分!A3)</f>
        <v/>
      </c>
      <c r="B3" s="15">
        <f>IF(每周积分!B3="","",每周积分!B3)</f>
        <v/>
      </c>
      <c r="C3" s="15">
        <f>IF(B3="","",IFERROR(SUMIF($S$3:$S$200,B3,$U$3:$U$200),0))</f>
        <v/>
      </c>
      <c r="D3" s="15">
        <f>IF(B3="","",IFERROR(SUMIF($K$3:$K$200,B3,$M$3:$M$200),0))</f>
        <v/>
      </c>
      <c r="E3" s="22" t="n"/>
      <c r="F3" s="22" t="n"/>
      <c r="G3" s="17">
        <f>IF(A3="","",SUM(C3:F3))</f>
        <v/>
      </c>
      <c r="H3" s="15">
        <f>IF(A3="","",CONCATENATE("课",C3," +鼠",D3," +作业",N(E3)+N(F3)))</f>
        <v/>
      </c>
      <c r="J3" s="23" t="n"/>
      <c r="K3" s="23" t="n"/>
      <c r="L3" s="23" t="n"/>
      <c r="M3" s="23" t="n"/>
      <c r="N3" s="23" t="n"/>
      <c r="O3" s="23" t="n"/>
      <c r="P3" s="23" t="n"/>
      <c r="Q3" s="23" t="n"/>
      <c r="S3" s="24" t="n"/>
      <c r="T3" s="24" t="n"/>
      <c r="U3" s="24" t="n"/>
    </row>
    <row r="4">
      <c r="A4" s="15">
        <f>IF(每周积分!A4="","",每周积分!A4)</f>
        <v/>
      </c>
      <c r="B4" s="15">
        <f>IF(每周积分!B4="","",每周积分!B4)</f>
        <v/>
      </c>
      <c r="C4" s="15">
        <f>IF(B4="","",IFERROR(SUMIF($S$3:$S$200,B4,$U$3:$U$200),0))</f>
        <v/>
      </c>
      <c r="D4" s="15">
        <f>IF(B4="","",IFERROR(SUMIF($K$3:$K$200,B4,$M$3:$M$200),0))</f>
        <v/>
      </c>
      <c r="E4" s="22" t="n"/>
      <c r="F4" s="22" t="n"/>
      <c r="G4" s="17">
        <f>IF(A4="","",SUM(C4:F4))</f>
        <v/>
      </c>
      <c r="H4" s="15">
        <f>IF(A4="","",CONCATENATE("课",C4," +鼠",D4," +作业",N(E4)+N(F4)))</f>
        <v/>
      </c>
      <c r="J4" s="23" t="n"/>
      <c r="K4" s="23" t="n"/>
      <c r="L4" s="23" t="n"/>
      <c r="M4" s="23" t="n"/>
      <c r="N4" s="23" t="n"/>
      <c r="O4" s="23" t="n"/>
      <c r="P4" s="23" t="n"/>
      <c r="Q4" s="23" t="n"/>
      <c r="S4" s="24" t="n"/>
      <c r="T4" s="24" t="n"/>
      <c r="U4" s="24" t="n"/>
    </row>
    <row r="5">
      <c r="A5" s="15">
        <f>IF(每周积分!A5="","",每周积分!A5)</f>
        <v/>
      </c>
      <c r="B5" s="15">
        <f>IF(每周积分!B5="","",每周积分!B5)</f>
        <v/>
      </c>
      <c r="C5" s="15">
        <f>IF(B5="","",IFERROR(SUMIF($S$3:$S$200,B5,$U$3:$U$200),0))</f>
        <v/>
      </c>
      <c r="D5" s="15">
        <f>IF(B5="","",IFERROR(SUMIF($K$3:$K$200,B5,$M$3:$M$200),0))</f>
        <v/>
      </c>
      <c r="E5" s="22" t="n"/>
      <c r="F5" s="22" t="n"/>
      <c r="G5" s="17">
        <f>IF(A5="","",SUM(C5:F5))</f>
        <v/>
      </c>
      <c r="H5" s="15">
        <f>IF(A5="","",CONCATENATE("课",C5," +鼠",D5," +作业",N(E5)+N(F5)))</f>
        <v/>
      </c>
      <c r="J5" s="23" t="n"/>
      <c r="K5" s="23" t="n"/>
      <c r="L5" s="23" t="n"/>
      <c r="M5" s="23" t="n"/>
      <c r="N5" s="23" t="n"/>
      <c r="O5" s="23" t="n"/>
      <c r="P5" s="23" t="n"/>
      <c r="Q5" s="23" t="n"/>
      <c r="S5" s="24" t="n"/>
      <c r="T5" s="24" t="n"/>
      <c r="U5" s="24" t="n"/>
    </row>
    <row r="6">
      <c r="A6" s="15">
        <f>IF(每周积分!A6="","",每周积分!A6)</f>
        <v/>
      </c>
      <c r="B6" s="15">
        <f>IF(每周积分!B6="","",每周积分!B6)</f>
        <v/>
      </c>
      <c r="C6" s="15">
        <f>IF(B6="","",IFERROR(SUMIF($S$3:$S$200,B6,$U$3:$U$200),0))</f>
        <v/>
      </c>
      <c r="D6" s="15">
        <f>IF(B6="","",IFERROR(SUMIF($K$3:$K$200,B6,$M$3:$M$200),0))</f>
        <v/>
      </c>
      <c r="E6" s="22" t="n"/>
      <c r="F6" s="22" t="n"/>
      <c r="G6" s="17">
        <f>IF(A6="","",SUM(C6:F6))</f>
        <v/>
      </c>
      <c r="H6" s="15">
        <f>IF(A6="","",CONCATENATE("课",C6," +鼠",D6," +作业",N(E6)+N(F6)))</f>
        <v/>
      </c>
      <c r="J6" s="23" t="n"/>
      <c r="K6" s="23" t="n"/>
      <c r="L6" s="23" t="n"/>
      <c r="M6" s="23" t="n"/>
      <c r="N6" s="23" t="n"/>
      <c r="O6" s="23" t="n"/>
      <c r="P6" s="23" t="n"/>
      <c r="Q6" s="23" t="n"/>
      <c r="S6" s="24" t="n"/>
      <c r="T6" s="24" t="n"/>
      <c r="U6" s="24" t="n"/>
    </row>
    <row r="7">
      <c r="A7" s="15">
        <f>IF(每周积分!A7="","",每周积分!A7)</f>
        <v/>
      </c>
      <c r="B7" s="15">
        <f>IF(每周积分!B7="","",每周积分!B7)</f>
        <v/>
      </c>
      <c r="C7" s="15">
        <f>IF(B7="","",IFERROR(SUMIF($S$3:$S$200,B7,$U$3:$U$200),0))</f>
        <v/>
      </c>
      <c r="D7" s="15">
        <f>IF(B7="","",IFERROR(SUMIF($K$3:$K$200,B7,$M$3:$M$200),0))</f>
        <v/>
      </c>
      <c r="E7" s="22" t="n"/>
      <c r="F7" s="22" t="n"/>
      <c r="G7" s="17">
        <f>IF(A7="","",SUM(C7:F7))</f>
        <v/>
      </c>
      <c r="H7" s="15">
        <f>IF(A7="","",CONCATENATE("课",C7," +鼠",D7," +作业",N(E7)+N(F7)))</f>
        <v/>
      </c>
      <c r="J7" s="23" t="n"/>
      <c r="K7" s="23" t="n"/>
      <c r="L7" s="23" t="n"/>
      <c r="M7" s="23" t="n"/>
      <c r="N7" s="23" t="n"/>
      <c r="O7" s="23" t="n"/>
      <c r="P7" s="23" t="n"/>
      <c r="Q7" s="23" t="n"/>
      <c r="S7" s="24" t="n"/>
      <c r="T7" s="24" t="n"/>
      <c r="U7" s="24" t="n"/>
    </row>
    <row r="8">
      <c r="A8" s="15">
        <f>IF(每周积分!A8="","",每周积分!A8)</f>
        <v/>
      </c>
      <c r="B8" s="15">
        <f>IF(每周积分!B8="","",每周积分!B8)</f>
        <v/>
      </c>
      <c r="C8" s="15">
        <f>IF(B8="","",IFERROR(SUMIF($S$3:$S$200,B8,$U$3:$U$200),0))</f>
        <v/>
      </c>
      <c r="D8" s="15">
        <f>IF(B8="","",IFERROR(SUMIF($K$3:$K$200,B8,$M$3:$M$200),0))</f>
        <v/>
      </c>
      <c r="E8" s="22" t="n"/>
      <c r="F8" s="22" t="n"/>
      <c r="G8" s="17">
        <f>IF(A8="","",SUM(C8:F8))</f>
        <v/>
      </c>
      <c r="H8" s="15">
        <f>IF(A8="","",CONCATENATE("课",C8," +鼠",D8," +作业",N(E8)+N(F8)))</f>
        <v/>
      </c>
      <c r="J8" s="23" t="n"/>
      <c r="K8" s="23" t="n"/>
      <c r="L8" s="23" t="n"/>
      <c r="M8" s="23" t="n"/>
      <c r="N8" s="23" t="n"/>
      <c r="O8" s="23" t="n"/>
      <c r="P8" s="23" t="n"/>
      <c r="Q8" s="23" t="n"/>
      <c r="S8" s="24" t="n"/>
      <c r="T8" s="24" t="n"/>
      <c r="U8" s="24" t="n"/>
    </row>
    <row r="9">
      <c r="A9" s="15">
        <f>IF(每周积分!A9="","",每周积分!A9)</f>
        <v/>
      </c>
      <c r="B9" s="15">
        <f>IF(每周积分!B9="","",每周积分!B9)</f>
        <v/>
      </c>
      <c r="C9" s="15">
        <f>IF(B9="","",IFERROR(SUMIF($S$3:$S$200,B9,$U$3:$U$200),0))</f>
        <v/>
      </c>
      <c r="D9" s="15">
        <f>IF(B9="","",IFERROR(SUMIF($K$3:$K$200,B9,$M$3:$M$200),0))</f>
        <v/>
      </c>
      <c r="E9" s="22" t="n"/>
      <c r="F9" s="22" t="n"/>
      <c r="G9" s="17">
        <f>IF(A9="","",SUM(C9:F9))</f>
        <v/>
      </c>
      <c r="H9" s="15">
        <f>IF(A9="","",CONCATENATE("课",C9," +鼠",D9," +作业",N(E9)+N(F9)))</f>
        <v/>
      </c>
      <c r="J9" s="23" t="n"/>
      <c r="K9" s="23" t="n"/>
      <c r="L9" s="23" t="n"/>
      <c r="M9" s="23" t="n"/>
      <c r="N9" s="23" t="n"/>
      <c r="O9" s="23" t="n"/>
      <c r="P9" s="23" t="n"/>
      <c r="Q9" s="23" t="n"/>
      <c r="S9" s="24" t="n"/>
      <c r="T9" s="24" t="n"/>
      <c r="U9" s="24" t="n"/>
    </row>
    <row r="10">
      <c r="A10" s="15">
        <f>IF(每周积分!A10="","",每周积分!A10)</f>
        <v/>
      </c>
      <c r="B10" s="15">
        <f>IF(每周积分!B10="","",每周积分!B10)</f>
        <v/>
      </c>
      <c r="C10" s="15">
        <f>IF(B10="","",IFERROR(SUMIF($S$3:$S$200,B10,$U$3:$U$200),0))</f>
        <v/>
      </c>
      <c r="D10" s="15">
        <f>IF(B10="","",IFERROR(SUMIF($K$3:$K$200,B10,$M$3:$M$200),0))</f>
        <v/>
      </c>
      <c r="E10" s="22" t="n"/>
      <c r="F10" s="22" t="n"/>
      <c r="G10" s="17">
        <f>IF(A10="","",SUM(C10:F10))</f>
        <v/>
      </c>
      <c r="H10" s="15">
        <f>IF(A10="","",CONCATENATE("课",C10," +鼠",D10," +作业",N(E10)+N(F10)))</f>
        <v/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S10" s="24" t="n"/>
      <c r="T10" s="24" t="n"/>
      <c r="U10" s="24" t="n"/>
    </row>
    <row r="11">
      <c r="A11" s="15">
        <f>IF(每周积分!A11="","",每周积分!A11)</f>
        <v/>
      </c>
      <c r="B11" s="15">
        <f>IF(每周积分!B11="","",每周积分!B11)</f>
        <v/>
      </c>
      <c r="C11" s="15">
        <f>IF(B11="","",IFERROR(SUMIF($S$3:$S$200,B11,$U$3:$U$200),0))</f>
        <v/>
      </c>
      <c r="D11" s="15">
        <f>IF(B11="","",IFERROR(SUMIF($K$3:$K$200,B11,$M$3:$M$200),0))</f>
        <v/>
      </c>
      <c r="E11" s="22" t="n"/>
      <c r="F11" s="22" t="n"/>
      <c r="G11" s="17">
        <f>IF(A11="","",SUM(C11:F11))</f>
        <v/>
      </c>
      <c r="H11" s="15">
        <f>IF(A11="","",CONCATENATE("课",C11," +鼠",D11," +作业",N(E11)+N(F11)))</f>
        <v/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S11" s="24" t="n"/>
      <c r="T11" s="24" t="n"/>
      <c r="U11" s="24" t="n"/>
    </row>
    <row r="12">
      <c r="A12" s="15">
        <f>IF(每周积分!A12="","",每周积分!A12)</f>
        <v/>
      </c>
      <c r="B12" s="15">
        <f>IF(每周积分!B12="","",每周积分!B12)</f>
        <v/>
      </c>
      <c r="C12" s="15">
        <f>IF(B12="","",IFERROR(SUMIF($S$3:$S$200,B12,$U$3:$U$200),0))</f>
        <v/>
      </c>
      <c r="D12" s="15">
        <f>IF(B12="","",IFERROR(SUMIF($K$3:$K$200,B12,$M$3:$M$200),0))</f>
        <v/>
      </c>
      <c r="E12" s="22" t="n"/>
      <c r="F12" s="22" t="n"/>
      <c r="G12" s="17">
        <f>IF(A12="","",SUM(C12:F12))</f>
        <v/>
      </c>
      <c r="H12" s="15">
        <f>IF(A12="","",CONCATENATE("课",C12," +鼠",D12," +作业",N(E12)+N(F12)))</f>
        <v/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S12" s="24" t="n"/>
      <c r="T12" s="24" t="n"/>
      <c r="U12" s="24" t="n"/>
    </row>
    <row r="13">
      <c r="A13" s="15">
        <f>IF(每周积分!A13="","",每周积分!A13)</f>
        <v/>
      </c>
      <c r="B13" s="15">
        <f>IF(每周积分!B13="","",每周积分!B13)</f>
        <v/>
      </c>
      <c r="C13" s="15">
        <f>IF(B13="","",IFERROR(SUMIF($S$3:$S$200,B13,$U$3:$U$200),0))</f>
        <v/>
      </c>
      <c r="D13" s="15">
        <f>IF(B13="","",IFERROR(SUMIF($K$3:$K$200,B13,$M$3:$M$200),0))</f>
        <v/>
      </c>
      <c r="E13" s="22" t="n"/>
      <c r="F13" s="22" t="n"/>
      <c r="G13" s="17">
        <f>IF(A13="","",SUM(C13:F13))</f>
        <v/>
      </c>
      <c r="H13" s="15">
        <f>IF(A13="","",CONCATENATE("课",C13," +鼠",D13," +作业",N(E13)+N(F13)))</f>
        <v/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S13" s="24" t="n"/>
      <c r="T13" s="24" t="n"/>
      <c r="U13" s="24" t="n"/>
    </row>
    <row r="14">
      <c r="A14" s="15">
        <f>IF(每周积分!A14="","",每周积分!A14)</f>
        <v/>
      </c>
      <c r="B14" s="15">
        <f>IF(每周积分!B14="","",每周积分!B14)</f>
        <v/>
      </c>
      <c r="C14" s="15">
        <f>IF(B14="","",IFERROR(SUMIF($S$3:$S$200,B14,$U$3:$U$200),0))</f>
        <v/>
      </c>
      <c r="D14" s="15">
        <f>IF(B14="","",IFERROR(SUMIF($K$3:$K$200,B14,$M$3:$M$200),0))</f>
        <v/>
      </c>
      <c r="E14" s="22" t="n"/>
      <c r="F14" s="22" t="n"/>
      <c r="G14" s="17">
        <f>IF(A14="","",SUM(C14:F14))</f>
        <v/>
      </c>
      <c r="H14" s="15">
        <f>IF(A14="","",CONCATENATE("课",C14," +鼠",D14," +作业",N(E14)+N(F14)))</f>
        <v/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S14" s="24" t="n"/>
      <c r="T14" s="24" t="n"/>
      <c r="U14" s="24" t="n"/>
    </row>
    <row r="15">
      <c r="A15" s="15">
        <f>IF(每周积分!A15="","",每周积分!A15)</f>
        <v/>
      </c>
      <c r="B15" s="15">
        <f>IF(每周积分!B15="","",每周积分!B15)</f>
        <v/>
      </c>
      <c r="C15" s="15">
        <f>IF(B15="","",IFERROR(SUMIF($S$3:$S$200,B15,$U$3:$U$200),0))</f>
        <v/>
      </c>
      <c r="D15" s="15">
        <f>IF(B15="","",IFERROR(SUMIF($K$3:$K$200,B15,$M$3:$M$200),0))</f>
        <v/>
      </c>
      <c r="E15" s="22" t="n"/>
      <c r="F15" s="22" t="n"/>
      <c r="G15" s="17">
        <f>IF(A15="","",SUM(C15:F15))</f>
        <v/>
      </c>
      <c r="H15" s="15">
        <f>IF(A15="","",CONCATENATE("课",C15," +鼠",D15," +作业",N(E15)+N(F15)))</f>
        <v/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S15" s="24" t="n"/>
      <c r="T15" s="24" t="n"/>
      <c r="U15" s="24" t="n"/>
    </row>
    <row r="16">
      <c r="A16" s="15">
        <f>IF(每周积分!A16="","",每周积分!A16)</f>
        <v/>
      </c>
      <c r="B16" s="15">
        <f>IF(每周积分!B16="","",每周积分!B16)</f>
        <v/>
      </c>
      <c r="C16" s="15">
        <f>IF(B16="","",IFERROR(SUMIF($S$3:$S$200,B16,$U$3:$U$200),0))</f>
        <v/>
      </c>
      <c r="D16" s="15">
        <f>IF(B16="","",IFERROR(SUMIF($K$3:$K$200,B16,$M$3:$M$200),0))</f>
        <v/>
      </c>
      <c r="E16" s="22" t="n"/>
      <c r="F16" s="22" t="n"/>
      <c r="G16" s="17">
        <f>IF(A16="","",SUM(C16:F16))</f>
        <v/>
      </c>
      <c r="H16" s="15">
        <f>IF(A16="","",CONCATENATE("课",C16," +鼠",D16," +作业",N(E16)+N(F16)))</f>
        <v/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S16" s="24" t="n"/>
      <c r="T16" s="24" t="n"/>
      <c r="U16" s="24" t="n"/>
    </row>
    <row r="17">
      <c r="A17" s="15">
        <f>IF(每周积分!A17="","",每周积分!A17)</f>
        <v/>
      </c>
      <c r="B17" s="15">
        <f>IF(每周积分!B17="","",每周积分!B17)</f>
        <v/>
      </c>
      <c r="C17" s="15">
        <f>IF(B17="","",IFERROR(SUMIF($S$3:$S$200,B17,$U$3:$U$200),0))</f>
        <v/>
      </c>
      <c r="D17" s="15">
        <f>IF(B17="","",IFERROR(SUMIF($K$3:$K$200,B17,$M$3:$M$200),0))</f>
        <v/>
      </c>
      <c r="E17" s="22" t="n"/>
      <c r="F17" s="22" t="n"/>
      <c r="G17" s="17">
        <f>IF(A17="","",SUM(C17:F17))</f>
        <v/>
      </c>
      <c r="H17" s="15">
        <f>IF(A17="","",CONCATENATE("课",C17," +鼠",D17," +作业",N(E17)+N(F17)))</f>
        <v/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S17" s="24" t="n"/>
      <c r="T17" s="24" t="n"/>
      <c r="U17" s="24" t="n"/>
    </row>
    <row r="18">
      <c r="A18" s="15">
        <f>IF(每周积分!A18="","",每周积分!A18)</f>
        <v/>
      </c>
      <c r="B18" s="15">
        <f>IF(每周积分!B18="","",每周积分!B18)</f>
        <v/>
      </c>
      <c r="C18" s="15">
        <f>IF(B18="","",IFERROR(SUMIF($S$3:$S$200,B18,$U$3:$U$200),0))</f>
        <v/>
      </c>
      <c r="D18" s="15">
        <f>IF(B18="","",IFERROR(SUMIF($K$3:$K$200,B18,$M$3:$M$200),0))</f>
        <v/>
      </c>
      <c r="E18" s="22" t="n"/>
      <c r="F18" s="22" t="n"/>
      <c r="G18" s="17">
        <f>IF(A18="","",SUM(C18:F18))</f>
        <v/>
      </c>
      <c r="H18" s="15">
        <f>IF(A18="","",CONCATENATE("课",C18," +鼠",D18," +作业",N(E18)+N(F18)))</f>
        <v/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S18" s="24" t="n"/>
      <c r="T18" s="24" t="n"/>
      <c r="U18" s="24" t="n"/>
    </row>
    <row r="19">
      <c r="A19" s="15">
        <f>IF(每周积分!A19="","",每周积分!A19)</f>
        <v/>
      </c>
      <c r="B19" s="15">
        <f>IF(每周积分!B19="","",每周积分!B19)</f>
        <v/>
      </c>
      <c r="C19" s="15">
        <f>IF(B19="","",IFERROR(SUMIF($S$3:$S$200,B19,$U$3:$U$200),0))</f>
        <v/>
      </c>
      <c r="D19" s="15">
        <f>IF(B19="","",IFERROR(SUMIF($K$3:$K$200,B19,$M$3:$M$200),0))</f>
        <v/>
      </c>
      <c r="E19" s="22" t="n"/>
      <c r="F19" s="22" t="n"/>
      <c r="G19" s="17">
        <f>IF(A19="","",SUM(C19:F19))</f>
        <v/>
      </c>
      <c r="H19" s="15">
        <f>IF(A19="","",CONCATENATE("课",C19," +鼠",D19," +作业",N(E19)+N(F19)))</f>
        <v/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S19" s="24" t="n"/>
      <c r="T19" s="24" t="n"/>
      <c r="U19" s="24" t="n"/>
    </row>
    <row r="20">
      <c r="A20" s="15">
        <f>IF(每周积分!A20="","",每周积分!A20)</f>
        <v/>
      </c>
      <c r="B20" s="15">
        <f>IF(每周积分!B20="","",每周积分!B20)</f>
        <v/>
      </c>
      <c r="C20" s="15">
        <f>IF(B20="","",IFERROR(SUMIF($S$3:$S$200,B20,$U$3:$U$200),0))</f>
        <v/>
      </c>
      <c r="D20" s="15">
        <f>IF(B20="","",IFERROR(SUMIF($K$3:$K$200,B20,$M$3:$M$200),0))</f>
        <v/>
      </c>
      <c r="E20" s="22" t="n"/>
      <c r="F20" s="22" t="n"/>
      <c r="G20" s="17">
        <f>IF(A20="","",SUM(C20:F20))</f>
        <v/>
      </c>
      <c r="H20" s="15">
        <f>IF(A20="","",CONCATENATE("课",C20," +鼠",D20," +作业",N(E20)+N(F20)))</f>
        <v/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S20" s="24" t="n"/>
      <c r="T20" s="24" t="n"/>
      <c r="U20" s="24" t="n"/>
    </row>
    <row r="21">
      <c r="A21" s="15">
        <f>IF(每周积分!A21="","",每周积分!A21)</f>
        <v/>
      </c>
      <c r="B21" s="15">
        <f>IF(每周积分!B21="","",每周积分!B21)</f>
        <v/>
      </c>
      <c r="C21" s="15">
        <f>IF(B21="","",IFERROR(SUMIF($S$3:$S$200,B21,$U$3:$U$200),0))</f>
        <v/>
      </c>
      <c r="D21" s="15">
        <f>IF(B21="","",IFERROR(SUMIF($K$3:$K$200,B21,$M$3:$M$200),0))</f>
        <v/>
      </c>
      <c r="E21" s="22" t="n"/>
      <c r="F21" s="22" t="n"/>
      <c r="G21" s="17">
        <f>IF(A21="","",SUM(C21:F21))</f>
        <v/>
      </c>
      <c r="H21" s="15">
        <f>IF(A21="","",CONCATENATE("课",C21," +鼠",D21," +作业",N(E21)+N(F21)))</f>
        <v/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S21" s="24" t="n"/>
      <c r="T21" s="24" t="n"/>
      <c r="U21" s="24" t="n"/>
    </row>
    <row r="22">
      <c r="A22" s="15">
        <f>IF(每周积分!A22="","",每周积分!A22)</f>
        <v/>
      </c>
      <c r="B22" s="15">
        <f>IF(每周积分!B22="","",每周积分!B22)</f>
        <v/>
      </c>
      <c r="C22" s="15">
        <f>IF(B22="","",IFERROR(SUMIF($S$3:$S$200,B22,$U$3:$U$200),0))</f>
        <v/>
      </c>
      <c r="D22" s="15">
        <f>IF(B22="","",IFERROR(SUMIF($K$3:$K$200,B22,$M$3:$M$200),0))</f>
        <v/>
      </c>
      <c r="E22" s="22" t="n"/>
      <c r="F22" s="22" t="n"/>
      <c r="G22" s="17">
        <f>IF(A22="","",SUM(C22:F22))</f>
        <v/>
      </c>
      <c r="H22" s="15">
        <f>IF(A22="","",CONCATENATE("课",C22," +鼠",D22," +作业",N(E22)+N(F22)))</f>
        <v/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S22" s="24" t="n"/>
      <c r="T22" s="24" t="n"/>
      <c r="U22" s="24" t="n"/>
    </row>
    <row r="23">
      <c r="A23" s="15">
        <f>IF(每周积分!A23="","",每周积分!A23)</f>
        <v/>
      </c>
      <c r="B23" s="15">
        <f>IF(每周积分!B23="","",每周积分!B23)</f>
        <v/>
      </c>
      <c r="C23" s="15">
        <f>IF(B23="","",IFERROR(SUMIF($S$3:$S$200,B23,$U$3:$U$200),0))</f>
        <v/>
      </c>
      <c r="D23" s="15">
        <f>IF(B23="","",IFERROR(SUMIF($K$3:$K$200,B23,$M$3:$M$200),0))</f>
        <v/>
      </c>
      <c r="E23" s="22" t="n"/>
      <c r="F23" s="22" t="n"/>
      <c r="G23" s="17">
        <f>IF(A23="","",SUM(C23:F23))</f>
        <v/>
      </c>
      <c r="H23" s="15">
        <f>IF(A23="","",CONCATENATE("课",C23," +鼠",D23," +作业",N(E23)+N(F23)))</f>
        <v/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S23" s="24" t="n"/>
      <c r="T23" s="24" t="n"/>
      <c r="U23" s="24" t="n"/>
    </row>
    <row r="24">
      <c r="A24" s="15">
        <f>IF(每周积分!A24="","",每周积分!A24)</f>
        <v/>
      </c>
      <c r="B24" s="15">
        <f>IF(每周积分!B24="","",每周积分!B24)</f>
        <v/>
      </c>
      <c r="C24" s="15">
        <f>IF(B24="","",IFERROR(SUMIF($S$3:$S$200,B24,$U$3:$U$200),0))</f>
        <v/>
      </c>
      <c r="D24" s="15">
        <f>IF(B24="","",IFERROR(SUMIF($K$3:$K$200,B24,$M$3:$M$200),0))</f>
        <v/>
      </c>
      <c r="E24" s="22" t="n"/>
      <c r="F24" s="22" t="n"/>
      <c r="G24" s="17">
        <f>IF(A24="","",SUM(C24:F24))</f>
        <v/>
      </c>
      <c r="H24" s="15">
        <f>IF(A24="","",CONCATENATE("课",C24," +鼠",D24," +作业",N(E24)+N(F24)))</f>
        <v/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S24" s="24" t="n"/>
      <c r="T24" s="24" t="n"/>
      <c r="U24" s="24" t="n"/>
    </row>
    <row r="25">
      <c r="A25" s="15">
        <f>IF(每周积分!A25="","",每周积分!A25)</f>
        <v/>
      </c>
      <c r="B25" s="15">
        <f>IF(每周积分!B25="","",每周积分!B25)</f>
        <v/>
      </c>
      <c r="C25" s="15">
        <f>IF(B25="","",IFERROR(SUMIF($S$3:$S$200,B25,$U$3:$U$200),0))</f>
        <v/>
      </c>
      <c r="D25" s="15">
        <f>IF(B25="","",IFERROR(SUMIF($K$3:$K$200,B25,$M$3:$M$200),0))</f>
        <v/>
      </c>
      <c r="E25" s="22" t="n"/>
      <c r="F25" s="22" t="n"/>
      <c r="G25" s="17">
        <f>IF(A25="","",SUM(C25:F25))</f>
        <v/>
      </c>
      <c r="H25" s="15">
        <f>IF(A25="","",CONCATENATE("课",C25," +鼠",D25," +作业",N(E25)+N(F25)))</f>
        <v/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S25" s="24" t="n"/>
      <c r="T25" s="24" t="n"/>
      <c r="U25" s="24" t="n"/>
    </row>
    <row r="26">
      <c r="A26" s="15">
        <f>IF(每周积分!A26="","",每周积分!A26)</f>
        <v/>
      </c>
      <c r="B26" s="15">
        <f>IF(每周积分!B26="","",每周积分!B26)</f>
        <v/>
      </c>
      <c r="C26" s="15">
        <f>IF(B26="","",IFERROR(SUMIF($S$3:$S$200,B26,$U$3:$U$200),0))</f>
        <v/>
      </c>
      <c r="D26" s="15">
        <f>IF(B26="","",IFERROR(SUMIF($K$3:$K$200,B26,$M$3:$M$200),0))</f>
        <v/>
      </c>
      <c r="E26" s="22" t="n"/>
      <c r="F26" s="22" t="n"/>
      <c r="G26" s="17">
        <f>IF(A26="","",SUM(C26:F26))</f>
        <v/>
      </c>
      <c r="H26" s="15">
        <f>IF(A26="","",CONCATENATE("课",C26," +鼠",D26," +作业",N(E26)+N(F26)))</f>
        <v/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S26" s="24" t="n"/>
      <c r="T26" s="24" t="n"/>
      <c r="U26" s="24" t="n"/>
    </row>
    <row r="27">
      <c r="A27" s="15">
        <f>IF(每周积分!A27="","",每周积分!A27)</f>
        <v/>
      </c>
      <c r="B27" s="15">
        <f>IF(每周积分!B27="","",每周积分!B27)</f>
        <v/>
      </c>
      <c r="C27" s="15">
        <f>IF(B27="","",IFERROR(SUMIF($S$3:$S$200,B27,$U$3:$U$200),0))</f>
        <v/>
      </c>
      <c r="D27" s="15">
        <f>IF(B27="","",IFERROR(SUMIF($K$3:$K$200,B27,$M$3:$M$200),0))</f>
        <v/>
      </c>
      <c r="E27" s="22" t="n"/>
      <c r="F27" s="22" t="n"/>
      <c r="G27" s="17">
        <f>IF(A27="","",SUM(C27:F27))</f>
        <v/>
      </c>
      <c r="H27" s="15">
        <f>IF(A27="","",CONCATENATE("课",C27," +鼠",D27," +作业",N(E27)+N(F27)))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S27" s="24" t="n"/>
      <c r="T27" s="24" t="n"/>
      <c r="U27" s="24" t="n"/>
    </row>
    <row r="28">
      <c r="A28" s="15">
        <f>IF(每周积分!A28="","",每周积分!A28)</f>
        <v/>
      </c>
      <c r="B28" s="15">
        <f>IF(每周积分!B28="","",每周积分!B28)</f>
        <v/>
      </c>
      <c r="C28" s="15">
        <f>IF(B28="","",IFERROR(SUMIF($S$3:$S$200,B28,$U$3:$U$200),0))</f>
        <v/>
      </c>
      <c r="D28" s="15">
        <f>IF(B28="","",IFERROR(SUMIF($K$3:$K$200,B28,$M$3:$M$200),0))</f>
        <v/>
      </c>
      <c r="E28" s="22" t="n"/>
      <c r="F28" s="22" t="n"/>
      <c r="G28" s="17">
        <f>IF(A28="","",SUM(C28:F28))</f>
        <v/>
      </c>
      <c r="H28" s="15">
        <f>IF(A28="","",CONCATENATE("课",C28," +鼠",D28," +作业",N(E28)+N(F28)))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S28" s="24" t="n"/>
      <c r="T28" s="24" t="n"/>
      <c r="U28" s="24" t="n"/>
    </row>
    <row r="29">
      <c r="A29" s="15">
        <f>IF(每周积分!A29="","",每周积分!A29)</f>
        <v/>
      </c>
      <c r="B29" s="15">
        <f>IF(每周积分!B29="","",每周积分!B29)</f>
        <v/>
      </c>
      <c r="C29" s="15">
        <f>IF(B29="","",IFERROR(SUMIF($S$3:$S$200,B29,$U$3:$U$200),0))</f>
        <v/>
      </c>
      <c r="D29" s="15">
        <f>IF(B29="","",IFERROR(SUMIF($K$3:$K$200,B29,$M$3:$M$200),0))</f>
        <v/>
      </c>
      <c r="E29" s="22" t="n"/>
      <c r="F29" s="22" t="n"/>
      <c r="G29" s="17">
        <f>IF(A29="","",SUM(C29:F29))</f>
        <v/>
      </c>
      <c r="H29" s="15">
        <f>IF(A29="","",CONCATENATE("课",C29," +鼠",D29," +作业",N(E29)+N(F29)))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S29" s="24" t="n"/>
      <c r="T29" s="24" t="n"/>
      <c r="U29" s="24" t="n"/>
    </row>
    <row r="30">
      <c r="A30" s="15">
        <f>IF(每周积分!A30="","",每周积分!A30)</f>
        <v/>
      </c>
      <c r="B30" s="15">
        <f>IF(每周积分!B30="","",每周积分!B30)</f>
        <v/>
      </c>
      <c r="C30" s="15">
        <f>IF(B30="","",IFERROR(SUMIF($S$3:$S$200,B30,$U$3:$U$200),0))</f>
        <v/>
      </c>
      <c r="D30" s="15">
        <f>IF(B30="","",IFERROR(SUMIF($K$3:$K$200,B30,$M$3:$M$200),0))</f>
        <v/>
      </c>
      <c r="E30" s="22" t="n"/>
      <c r="F30" s="22" t="n"/>
      <c r="G30" s="17">
        <f>IF(A30="","",SUM(C30:F30))</f>
        <v/>
      </c>
      <c r="H30" s="15">
        <f>IF(A30="","",CONCATENATE("课",C30," +鼠",D30," +作业",N(E30)+N(F30)))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S30" s="24" t="n"/>
      <c r="T30" s="24" t="n"/>
      <c r="U30" s="24" t="n"/>
    </row>
    <row r="31">
      <c r="A31" s="15">
        <f>IF(每周积分!A31="","",每周积分!A31)</f>
        <v/>
      </c>
      <c r="B31" s="15">
        <f>IF(每周积分!B31="","",每周积分!B31)</f>
        <v/>
      </c>
      <c r="C31" s="15">
        <f>IF(B31="","",IFERROR(SUMIF($S$3:$S$200,B31,$U$3:$U$200),0))</f>
        <v/>
      </c>
      <c r="D31" s="15">
        <f>IF(B31="","",IFERROR(SUMIF($K$3:$K$200,B31,$M$3:$M$200),0))</f>
        <v/>
      </c>
      <c r="E31" s="22" t="n"/>
      <c r="F31" s="22" t="n"/>
      <c r="G31" s="17">
        <f>IF(A31="","",SUM(C31:F31))</f>
        <v/>
      </c>
      <c r="H31" s="15">
        <f>IF(A31="","",CONCATENATE("课",C31," +鼠",D31," +作业",N(E31)+N(F31)))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S31" s="24" t="n"/>
      <c r="T31" s="24" t="n"/>
      <c r="U31" s="24" t="n"/>
    </row>
    <row r="32">
      <c r="A32" s="15">
        <f>IF(每周积分!A32="","",每周积分!A32)</f>
        <v/>
      </c>
      <c r="B32" s="15">
        <f>IF(每周积分!B32="","",每周积分!B32)</f>
        <v/>
      </c>
      <c r="C32" s="15">
        <f>IF(B32="","",IFERROR(SUMIF($S$3:$S$200,B32,$U$3:$U$200),0))</f>
        <v/>
      </c>
      <c r="D32" s="15">
        <f>IF(B32="","",IFERROR(SUMIF($K$3:$K$200,B32,$M$3:$M$200),0))</f>
        <v/>
      </c>
      <c r="E32" s="22" t="n"/>
      <c r="F32" s="22" t="n"/>
      <c r="G32" s="17">
        <f>IF(A32="","",SUM(C32:F32))</f>
        <v/>
      </c>
      <c r="H32" s="15">
        <f>IF(A32="","",CONCATENATE("课",C32," +鼠",D32," +作业",N(E32)+N(F32)))</f>
        <v/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S32" s="24" t="n"/>
      <c r="T32" s="24" t="n"/>
      <c r="U32" s="24" t="n"/>
    </row>
    <row r="33">
      <c r="A33" s="15">
        <f>IF(每周积分!A33="","",每周积分!A33)</f>
        <v/>
      </c>
      <c r="B33" s="15">
        <f>IF(每周积分!B33="","",每周积分!B33)</f>
        <v/>
      </c>
      <c r="C33" s="15">
        <f>IF(B33="","",IFERROR(SUMIF($S$3:$S$200,B33,$U$3:$U$200),0))</f>
        <v/>
      </c>
      <c r="D33" s="15">
        <f>IF(B33="","",IFERROR(SUMIF($K$3:$K$200,B33,$M$3:$M$200),0))</f>
        <v/>
      </c>
      <c r="E33" s="22" t="n"/>
      <c r="F33" s="22" t="n"/>
      <c r="G33" s="17">
        <f>IF(A33="","",SUM(C33:F33))</f>
        <v/>
      </c>
      <c r="H33" s="15">
        <f>IF(A33="","",CONCATENATE("课",C33," +鼠",D33," +作业",N(E33)+N(F33)))</f>
        <v/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S33" s="24" t="n"/>
      <c r="T33" s="24" t="n"/>
      <c r="U33" s="24" t="n"/>
    </row>
    <row r="34">
      <c r="A34" s="15">
        <f>IF(每周积分!A34="","",每周积分!A34)</f>
        <v/>
      </c>
      <c r="B34" s="15">
        <f>IF(每周积分!B34="","",每周积分!B34)</f>
        <v/>
      </c>
      <c r="C34" s="15">
        <f>IF(B34="","",IFERROR(SUMIF($S$3:$S$200,B34,$U$3:$U$200),0))</f>
        <v/>
      </c>
      <c r="D34" s="15">
        <f>IF(B34="","",IFERROR(SUMIF($K$3:$K$200,B34,$M$3:$M$200),0))</f>
        <v/>
      </c>
      <c r="E34" s="22" t="n"/>
      <c r="F34" s="22" t="n"/>
      <c r="G34" s="17">
        <f>IF(A34="","",SUM(C34:F34))</f>
        <v/>
      </c>
      <c r="H34" s="15">
        <f>IF(A34="","",CONCATENATE("课",C34," +鼠",D34," +作业",N(E34)+N(F34)))</f>
        <v/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S34" s="24" t="n"/>
      <c r="T34" s="24" t="n"/>
      <c r="U34" s="24" t="n"/>
    </row>
    <row r="35">
      <c r="A35" s="15">
        <f>IF(每周积分!A35="","",每周积分!A35)</f>
        <v/>
      </c>
      <c r="B35" s="15">
        <f>IF(每周积分!B35="","",每周积分!B35)</f>
        <v/>
      </c>
      <c r="C35" s="15">
        <f>IF(B35="","",IFERROR(SUMIF($S$3:$S$200,B35,$U$3:$U$200),0))</f>
        <v/>
      </c>
      <c r="D35" s="15">
        <f>IF(B35="","",IFERROR(SUMIF($K$3:$K$200,B35,$M$3:$M$200),0))</f>
        <v/>
      </c>
      <c r="E35" s="22" t="n"/>
      <c r="F35" s="22" t="n"/>
      <c r="G35" s="17">
        <f>IF(A35="","",SUM(C35:F35))</f>
        <v/>
      </c>
      <c r="H35" s="15">
        <f>IF(A35="","",CONCATENATE("课",C35," +鼠",D35," +作业",N(E35)+N(F35)))</f>
        <v/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S35" s="24" t="n"/>
      <c r="T35" s="24" t="n"/>
      <c r="U35" s="24" t="n"/>
    </row>
    <row r="36">
      <c r="A36" s="15">
        <f>IF(每周积分!A36="","",每周积分!A36)</f>
        <v/>
      </c>
      <c r="B36" s="15">
        <f>IF(每周积分!B36="","",每周积分!B36)</f>
        <v/>
      </c>
      <c r="C36" s="15">
        <f>IF(B36="","",IFERROR(SUMIF($S$3:$S$200,B36,$U$3:$U$200),0))</f>
        <v/>
      </c>
      <c r="D36" s="15">
        <f>IF(B36="","",IFERROR(SUMIF($K$3:$K$200,B36,$M$3:$M$200),0))</f>
        <v/>
      </c>
      <c r="E36" s="22" t="n"/>
      <c r="F36" s="22" t="n"/>
      <c r="G36" s="17">
        <f>IF(A36="","",SUM(C36:F36))</f>
        <v/>
      </c>
      <c r="H36" s="15">
        <f>IF(A36="","",CONCATENATE("课",C36," +鼠",D36," +作业",N(E36)+N(F36)))</f>
        <v/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S36" s="24" t="n"/>
      <c r="T36" s="24" t="n"/>
      <c r="U36" s="24" t="n"/>
    </row>
    <row r="37">
      <c r="A37" s="15">
        <f>IF(每周积分!A37="","",每周积分!A37)</f>
        <v/>
      </c>
      <c r="B37" s="15">
        <f>IF(每周积分!B37="","",每周积分!B37)</f>
        <v/>
      </c>
      <c r="C37" s="15">
        <f>IF(B37="","",IFERROR(SUMIF($S$3:$S$200,B37,$U$3:$U$200),0))</f>
        <v/>
      </c>
      <c r="D37" s="15">
        <f>IF(B37="","",IFERROR(SUMIF($K$3:$K$200,B37,$M$3:$M$200),0))</f>
        <v/>
      </c>
      <c r="E37" s="22" t="n"/>
      <c r="F37" s="22" t="n"/>
      <c r="G37" s="17">
        <f>IF(A37="","",SUM(C37:F37))</f>
        <v/>
      </c>
      <c r="H37" s="15">
        <f>IF(A37="","",CONCATENATE("课",C37," +鼠",D37," +作业",N(E37)+N(F37)))</f>
        <v/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S37" s="24" t="n"/>
      <c r="T37" s="24" t="n"/>
      <c r="U37" s="24" t="n"/>
    </row>
    <row r="38">
      <c r="A38" s="15">
        <f>IF(每周积分!A38="","",每周积分!A38)</f>
        <v/>
      </c>
      <c r="B38" s="15">
        <f>IF(每周积分!B38="","",每周积分!B38)</f>
        <v/>
      </c>
      <c r="C38" s="15">
        <f>IF(B38="","",IFERROR(SUMIF($S$3:$S$200,B38,$U$3:$U$200),0))</f>
        <v/>
      </c>
      <c r="D38" s="15">
        <f>IF(B38="","",IFERROR(SUMIF($K$3:$K$200,B38,$M$3:$M$200),0))</f>
        <v/>
      </c>
      <c r="E38" s="22" t="n"/>
      <c r="F38" s="22" t="n"/>
      <c r="G38" s="17">
        <f>IF(A38="","",SUM(C38:F38))</f>
        <v/>
      </c>
      <c r="H38" s="15">
        <f>IF(A38="","",CONCATENATE("课",C38," +鼠",D38," +作业",N(E38)+N(F38)))</f>
        <v/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S38" s="24" t="n"/>
      <c r="T38" s="24" t="n"/>
      <c r="U38" s="24" t="n"/>
    </row>
    <row r="39">
      <c r="A39" s="15">
        <f>IF(每周积分!A39="","",每周积分!A39)</f>
        <v/>
      </c>
      <c r="B39" s="15">
        <f>IF(每周积分!B39="","",每周积分!B39)</f>
        <v/>
      </c>
      <c r="C39" s="15">
        <f>IF(B39="","",IFERROR(SUMIF($S$3:$S$200,B39,$U$3:$U$200),0))</f>
        <v/>
      </c>
      <c r="D39" s="15">
        <f>IF(B39="","",IFERROR(SUMIF($K$3:$K$200,B39,$M$3:$M$200),0))</f>
        <v/>
      </c>
      <c r="E39" s="22" t="n"/>
      <c r="F39" s="22" t="n"/>
      <c r="G39" s="17">
        <f>IF(A39="","",SUM(C39:F39))</f>
        <v/>
      </c>
      <c r="H39" s="15">
        <f>IF(A39="","",CONCATENATE("课",C39," +鼠",D39," +作业",N(E39)+N(F39)))</f>
        <v/>
      </c>
      <c r="J39" s="23" t="n"/>
      <c r="K39" s="23" t="n"/>
      <c r="L39" s="23" t="n"/>
      <c r="M39" s="23" t="n"/>
      <c r="N39" s="23" t="n"/>
      <c r="O39" s="23" t="n"/>
      <c r="P39" s="23" t="n"/>
      <c r="Q39" s="23" t="n"/>
      <c r="S39" s="24" t="n"/>
      <c r="T39" s="24" t="n"/>
      <c r="U39" s="24" t="n"/>
    </row>
    <row r="40">
      <c r="A40" s="15">
        <f>IF(每周积分!A40="","",每周积分!A40)</f>
        <v/>
      </c>
      <c r="B40" s="15">
        <f>IF(每周积分!B40="","",每周积分!B40)</f>
        <v/>
      </c>
      <c r="C40" s="15">
        <f>IF(B40="","",IFERROR(SUMIF($S$3:$S$200,B40,$U$3:$U$200),0))</f>
        <v/>
      </c>
      <c r="D40" s="15">
        <f>IF(B40="","",IFERROR(SUMIF($K$3:$K$200,B40,$M$3:$M$200),0))</f>
        <v/>
      </c>
      <c r="E40" s="22" t="n"/>
      <c r="F40" s="22" t="n"/>
      <c r="G40" s="17">
        <f>IF(A40="","",SUM(C40:F40))</f>
        <v/>
      </c>
      <c r="H40" s="15">
        <f>IF(A40="","",CONCATENATE("课",C40," +鼠",D40," +作业",N(E40)+N(F40)))</f>
        <v/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S40" s="24" t="n"/>
      <c r="T40" s="24" t="n"/>
      <c r="U40" s="24" t="n"/>
    </row>
    <row r="41">
      <c r="A41" s="15">
        <f>IF(每周积分!A41="","",每周积分!A41)</f>
        <v/>
      </c>
      <c r="B41" s="15">
        <f>IF(每周积分!B41="","",每周积分!B41)</f>
        <v/>
      </c>
      <c r="C41" s="15">
        <f>IF(B41="","",IFERROR(SUMIF($S$3:$S$200,B41,$U$3:$U$200),0))</f>
        <v/>
      </c>
      <c r="D41" s="15">
        <f>IF(B41="","",IFERROR(SUMIF($K$3:$K$200,B41,$M$3:$M$200),0))</f>
        <v/>
      </c>
      <c r="E41" s="22" t="n"/>
      <c r="F41" s="22" t="n"/>
      <c r="G41" s="17">
        <f>IF(A41="","",SUM(C41:F41))</f>
        <v/>
      </c>
      <c r="H41" s="15">
        <f>IF(A41="","",CONCATENATE("课",C41," +鼠",D41," +作业",N(E41)+N(F41)))</f>
        <v/>
      </c>
      <c r="J41" s="23" t="n"/>
      <c r="K41" s="23" t="n"/>
      <c r="L41" s="23" t="n"/>
      <c r="M41" s="23" t="n"/>
      <c r="N41" s="23" t="n"/>
      <c r="O41" s="23" t="n"/>
      <c r="P41" s="23" t="n"/>
      <c r="Q41" s="23" t="n"/>
      <c r="S41" s="24" t="n"/>
      <c r="T41" s="24" t="n"/>
      <c r="U41" s="24" t="n"/>
    </row>
    <row r="42">
      <c r="A42" s="15">
        <f>IF(每周积分!A42="","",每周积分!A42)</f>
        <v/>
      </c>
      <c r="B42" s="15">
        <f>IF(每周积分!B42="","",每周积分!B42)</f>
        <v/>
      </c>
      <c r="C42" s="15">
        <f>IF(B42="","",IFERROR(SUMIF($S$3:$S$200,B42,$U$3:$U$200),0))</f>
        <v/>
      </c>
      <c r="D42" s="15">
        <f>IF(B42="","",IFERROR(SUMIF($K$3:$K$200,B42,$M$3:$M$200),0))</f>
        <v/>
      </c>
      <c r="E42" s="22" t="n"/>
      <c r="F42" s="22" t="n"/>
      <c r="G42" s="17">
        <f>IF(A42="","",SUM(C42:F42))</f>
        <v/>
      </c>
      <c r="H42" s="15">
        <f>IF(A42="","",CONCATENATE("课",C42," +鼠",D42," +作业",N(E42)+N(F42)))</f>
        <v/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S42" s="24" t="n"/>
      <c r="T42" s="24" t="n"/>
      <c r="U42" s="24" t="n"/>
    </row>
    <row r="43">
      <c r="A43" s="15">
        <f>IF(每周积分!A43="","",每周积分!A43)</f>
        <v/>
      </c>
      <c r="B43" s="15">
        <f>IF(每周积分!B43="","",每周积分!B43)</f>
        <v/>
      </c>
      <c r="C43" s="15">
        <f>IF(B43="","",IFERROR(SUMIF($S$3:$S$200,B43,$U$3:$U$200),0))</f>
        <v/>
      </c>
      <c r="D43" s="15">
        <f>IF(B43="","",IFERROR(SUMIF($K$3:$K$200,B43,$M$3:$M$200),0))</f>
        <v/>
      </c>
      <c r="E43" s="22" t="n"/>
      <c r="F43" s="22" t="n"/>
      <c r="G43" s="17">
        <f>IF(A43="","",SUM(C43:F43))</f>
        <v/>
      </c>
      <c r="H43" s="15">
        <f>IF(A43="","",CONCATENATE("课",C43," +鼠",D43," +作业",N(E43)+N(F43)))</f>
        <v/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S43" s="24" t="n"/>
      <c r="T43" s="24" t="n"/>
      <c r="U43" s="24" t="n"/>
    </row>
    <row r="44">
      <c r="A44" s="15">
        <f>IF(每周积分!A44="","",每周积分!A44)</f>
        <v/>
      </c>
      <c r="B44" s="15">
        <f>IF(每周积分!B44="","",每周积分!B44)</f>
        <v/>
      </c>
      <c r="C44" s="15">
        <f>IF(B44="","",IFERROR(SUMIF($S$3:$S$200,B44,$U$3:$U$200),0))</f>
        <v/>
      </c>
      <c r="D44" s="15">
        <f>IF(B44="","",IFERROR(SUMIF($K$3:$K$200,B44,$M$3:$M$200),0))</f>
        <v/>
      </c>
      <c r="E44" s="22" t="n"/>
      <c r="F44" s="22" t="n"/>
      <c r="G44" s="17">
        <f>IF(A44="","",SUM(C44:F44))</f>
        <v/>
      </c>
      <c r="H44" s="15">
        <f>IF(A44="","",CONCATENATE("课",C44," +鼠",D44," +作业",N(E44)+N(F44)))</f>
        <v/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S44" s="24" t="n"/>
      <c r="T44" s="24" t="n"/>
      <c r="U44" s="24" t="n"/>
    </row>
    <row r="45">
      <c r="A45" s="15">
        <f>IF(每周积分!A45="","",每周积分!A45)</f>
        <v/>
      </c>
      <c r="B45" s="15">
        <f>IF(每周积分!B45="","",每周积分!B45)</f>
        <v/>
      </c>
      <c r="C45" s="15">
        <f>IF(B45="","",IFERROR(SUMIF($S$3:$S$200,B45,$U$3:$U$200),0))</f>
        <v/>
      </c>
      <c r="D45" s="15">
        <f>IF(B45="","",IFERROR(SUMIF($K$3:$K$200,B45,$M$3:$M$200),0))</f>
        <v/>
      </c>
      <c r="E45" s="22" t="n"/>
      <c r="F45" s="22" t="n"/>
      <c r="G45" s="17">
        <f>IF(A45="","",SUM(C45:F45))</f>
        <v/>
      </c>
      <c r="H45" s="15">
        <f>IF(A45="","",CONCATENATE("课",C45," +鼠",D45," +作业",N(E45)+N(F45)))</f>
        <v/>
      </c>
      <c r="J45" s="23" t="n"/>
      <c r="K45" s="23" t="n"/>
      <c r="L45" s="23" t="n"/>
      <c r="M45" s="23" t="n"/>
      <c r="N45" s="23" t="n"/>
      <c r="O45" s="23" t="n"/>
      <c r="P45" s="23" t="n"/>
      <c r="Q45" s="23" t="n"/>
      <c r="S45" s="24" t="n"/>
      <c r="T45" s="24" t="n"/>
      <c r="U45" s="24" t="n"/>
    </row>
    <row r="46">
      <c r="A46" s="15">
        <f>IF(每周积分!A46="","",每周积分!A46)</f>
        <v/>
      </c>
      <c r="B46" s="15">
        <f>IF(每周积分!B46="","",每周积分!B46)</f>
        <v/>
      </c>
      <c r="C46" s="15">
        <f>IF(B46="","",IFERROR(SUMIF($S$3:$S$200,B46,$U$3:$U$200),0))</f>
        <v/>
      </c>
      <c r="D46" s="15">
        <f>IF(B46="","",IFERROR(SUMIF($K$3:$K$200,B46,$M$3:$M$200),0))</f>
        <v/>
      </c>
      <c r="E46" s="22" t="n"/>
      <c r="F46" s="22" t="n"/>
      <c r="G46" s="17">
        <f>IF(A46="","",SUM(C46:F46))</f>
        <v/>
      </c>
      <c r="H46" s="15">
        <f>IF(A46="","",CONCATENATE("课",C46," +鼠",D46," +作业",N(E46)+N(F46)))</f>
        <v/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S46" s="24" t="n"/>
      <c r="T46" s="24" t="n"/>
      <c r="U46" s="24" t="n"/>
    </row>
    <row r="47">
      <c r="A47" s="15">
        <f>IF(每周积分!A47="","",每周积分!A47)</f>
        <v/>
      </c>
      <c r="B47" s="15">
        <f>IF(每周积分!B47="","",每周积分!B47)</f>
        <v/>
      </c>
      <c r="C47" s="15">
        <f>IF(B47="","",IFERROR(SUMIF($S$3:$S$200,B47,$U$3:$U$200),0))</f>
        <v/>
      </c>
      <c r="D47" s="15">
        <f>IF(B47="","",IFERROR(SUMIF($K$3:$K$200,B47,$M$3:$M$200),0))</f>
        <v/>
      </c>
      <c r="E47" s="22" t="n"/>
      <c r="F47" s="22" t="n"/>
      <c r="G47" s="17">
        <f>IF(A47="","",SUM(C47:F47))</f>
        <v/>
      </c>
      <c r="H47" s="15">
        <f>IF(A47="","",CONCATENATE("课",C47," +鼠",D47," +作业",N(E47)+N(F47)))</f>
        <v/>
      </c>
      <c r="J47" s="23" t="n"/>
      <c r="K47" s="23" t="n"/>
      <c r="L47" s="23" t="n"/>
      <c r="M47" s="23" t="n"/>
      <c r="N47" s="23" t="n"/>
      <c r="O47" s="23" t="n"/>
      <c r="P47" s="23" t="n"/>
      <c r="Q47" s="23" t="n"/>
      <c r="S47" s="24" t="n"/>
      <c r="T47" s="24" t="n"/>
      <c r="U47" s="24" t="n"/>
    </row>
    <row r="48">
      <c r="A48" s="15">
        <f>IF(每周积分!A48="","",每周积分!A48)</f>
        <v/>
      </c>
      <c r="B48" s="15">
        <f>IF(每周积分!B48="","",每周积分!B48)</f>
        <v/>
      </c>
      <c r="C48" s="15">
        <f>IF(B48="","",IFERROR(SUMIF($S$3:$S$200,B48,$U$3:$U$200),0))</f>
        <v/>
      </c>
      <c r="D48" s="15">
        <f>IF(B48="","",IFERROR(SUMIF($K$3:$K$200,B48,$M$3:$M$200),0))</f>
        <v/>
      </c>
      <c r="E48" s="22" t="n"/>
      <c r="F48" s="22" t="n"/>
      <c r="G48" s="17">
        <f>IF(A48="","",SUM(C48:F48))</f>
        <v/>
      </c>
      <c r="H48" s="15">
        <f>IF(A48="","",CONCATENATE("课",C48," +鼠",D48," +作业",N(E48)+N(F48)))</f>
        <v/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S48" s="24" t="n"/>
      <c r="T48" s="24" t="n"/>
      <c r="U48" s="24" t="n"/>
    </row>
    <row r="49">
      <c r="A49" s="15">
        <f>IF(每周积分!A49="","",每周积分!A49)</f>
        <v/>
      </c>
      <c r="B49" s="15">
        <f>IF(每周积分!B49="","",每周积分!B49)</f>
        <v/>
      </c>
      <c r="C49" s="15">
        <f>IF(B49="","",IFERROR(SUMIF($S$3:$S$200,B49,$U$3:$U$200),0))</f>
        <v/>
      </c>
      <c r="D49" s="15">
        <f>IF(B49="","",IFERROR(SUMIF($K$3:$K$200,B49,$M$3:$M$200),0))</f>
        <v/>
      </c>
      <c r="E49" s="22" t="n"/>
      <c r="F49" s="22" t="n"/>
      <c r="G49" s="17">
        <f>IF(A49="","",SUM(C49:F49))</f>
        <v/>
      </c>
      <c r="H49" s="15">
        <f>IF(A49="","",CONCATENATE("课",C49," +鼠",D49," +作业",N(E49)+N(F49)))</f>
        <v/>
      </c>
      <c r="J49" s="23" t="n"/>
      <c r="K49" s="23" t="n"/>
      <c r="L49" s="23" t="n"/>
      <c r="M49" s="23" t="n"/>
      <c r="N49" s="23" t="n"/>
      <c r="O49" s="23" t="n"/>
      <c r="P49" s="23" t="n"/>
      <c r="Q49" s="23" t="n"/>
      <c r="S49" s="24" t="n"/>
      <c r="T49" s="24" t="n"/>
      <c r="U49" s="24" t="n"/>
    </row>
    <row r="50">
      <c r="A50" s="15">
        <f>IF(每周积分!A50="","",每周积分!A50)</f>
        <v/>
      </c>
      <c r="B50" s="15">
        <f>IF(每周积分!B50="","",每周积分!B50)</f>
        <v/>
      </c>
      <c r="C50" s="15">
        <f>IF(B50="","",IFERROR(SUMIF($S$3:$S$200,B50,$U$3:$U$200),0))</f>
        <v/>
      </c>
      <c r="D50" s="15">
        <f>IF(B50="","",IFERROR(SUMIF($K$3:$K$200,B50,$M$3:$M$200),0))</f>
        <v/>
      </c>
      <c r="E50" s="22" t="n"/>
      <c r="F50" s="22" t="n"/>
      <c r="G50" s="17">
        <f>IF(A50="","",SUM(C50:F50))</f>
        <v/>
      </c>
      <c r="H50" s="15">
        <f>IF(A50="","",CONCATENATE("课",C50," +鼠",D50," +作业",N(E50)+N(F50)))</f>
        <v/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S50" s="24" t="n"/>
      <c r="T50" s="24" t="n"/>
      <c r="U50" s="24" t="n"/>
    </row>
    <row r="51">
      <c r="A51" s="15">
        <f>IF(每周积分!A51="","",每周积分!A51)</f>
        <v/>
      </c>
      <c r="B51" s="15">
        <f>IF(每周积分!B51="","",每周积分!B51)</f>
        <v/>
      </c>
      <c r="C51" s="15">
        <f>IF(B51="","",IFERROR(SUMIF($S$3:$S$200,B51,$U$3:$U$200),0))</f>
        <v/>
      </c>
      <c r="D51" s="15">
        <f>IF(B51="","",IFERROR(SUMIF($K$3:$K$200,B51,$M$3:$M$200),0))</f>
        <v/>
      </c>
      <c r="E51" s="22" t="n"/>
      <c r="F51" s="22" t="n"/>
      <c r="G51" s="17">
        <f>IF(A51="","",SUM(C51:F51))</f>
        <v/>
      </c>
      <c r="H51" s="15">
        <f>IF(A51="","",CONCATENATE("课",C51," +鼠",D51," +作业",N(E51)+N(F51)))</f>
        <v/>
      </c>
      <c r="J51" s="23" t="n"/>
      <c r="K51" s="23" t="n"/>
      <c r="L51" s="23" t="n"/>
      <c r="M51" s="23" t="n"/>
      <c r="N51" s="23" t="n"/>
      <c r="O51" s="23" t="n"/>
      <c r="P51" s="23" t="n"/>
      <c r="Q51" s="23" t="n"/>
      <c r="S51" s="24" t="n"/>
      <c r="T51" s="24" t="n"/>
      <c r="U51" s="24" t="n"/>
    </row>
    <row r="52">
      <c r="A52" s="15">
        <f>IF(每周积分!A52="","",每周积分!A52)</f>
        <v/>
      </c>
      <c r="B52" s="15">
        <f>IF(每周积分!B52="","",每周积分!B52)</f>
        <v/>
      </c>
      <c r="C52" s="15">
        <f>IF(B52="","",IFERROR(SUMIF($S$3:$S$200,B52,$U$3:$U$200),0))</f>
        <v/>
      </c>
      <c r="D52" s="15">
        <f>IF(B52="","",IFERROR(SUMIF($K$3:$K$200,B52,$M$3:$M$200),0))</f>
        <v/>
      </c>
      <c r="E52" s="22" t="n"/>
      <c r="F52" s="22" t="n"/>
      <c r="G52" s="17">
        <f>IF(A52="","",SUM(C52:F52))</f>
        <v/>
      </c>
      <c r="H52" s="15">
        <f>IF(A52="","",CONCATENATE("课",C52," +鼠",D52," +作业",N(E52)+N(F52)))</f>
        <v/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S52" s="24" t="n"/>
      <c r="T52" s="24" t="n"/>
      <c r="U52" s="24" t="n"/>
    </row>
    <row r="53">
      <c r="J53" s="23" t="n"/>
      <c r="K53" s="23" t="n"/>
      <c r="L53" s="23" t="n"/>
      <c r="M53" s="23" t="n"/>
      <c r="N53" s="23" t="n"/>
      <c r="O53" s="23" t="n"/>
      <c r="P53" s="23" t="n"/>
      <c r="Q53" s="23" t="n"/>
      <c r="S53" s="24" t="n"/>
      <c r="T53" s="24" t="n"/>
      <c r="U53" s="24" t="n"/>
    </row>
    <row r="54">
      <c r="J54" s="23" t="n"/>
      <c r="K54" s="23" t="n"/>
      <c r="L54" s="23" t="n"/>
      <c r="M54" s="23" t="n"/>
      <c r="N54" s="23" t="n"/>
      <c r="O54" s="23" t="n"/>
      <c r="P54" s="23" t="n"/>
      <c r="Q54" s="23" t="n"/>
      <c r="S54" s="24" t="n"/>
      <c r="T54" s="24" t="n"/>
      <c r="U54" s="24" t="n"/>
    </row>
    <row r="55">
      <c r="J55" s="23" t="n"/>
      <c r="K55" s="23" t="n"/>
      <c r="L55" s="23" t="n"/>
      <c r="M55" s="23" t="n"/>
      <c r="N55" s="23" t="n"/>
      <c r="O55" s="23" t="n"/>
      <c r="P55" s="23" t="n"/>
      <c r="Q55" s="23" t="n"/>
      <c r="S55" s="24" t="n"/>
      <c r="T55" s="24" t="n"/>
      <c r="U55" s="24" t="n"/>
    </row>
    <row r="56">
      <c r="J56" s="23" t="n"/>
      <c r="K56" s="23" t="n"/>
      <c r="L56" s="23" t="n"/>
      <c r="M56" s="23" t="n"/>
      <c r="N56" s="23" t="n"/>
      <c r="O56" s="23" t="n"/>
      <c r="P56" s="23" t="n"/>
      <c r="Q56" s="23" t="n"/>
      <c r="S56" s="24" t="n"/>
      <c r="T56" s="24" t="n"/>
      <c r="U56" s="24" t="n"/>
    </row>
    <row r="57">
      <c r="J57" s="23" t="n"/>
      <c r="K57" s="23" t="n"/>
      <c r="L57" s="23" t="n"/>
      <c r="M57" s="23" t="n"/>
      <c r="N57" s="23" t="n"/>
      <c r="O57" s="23" t="n"/>
      <c r="P57" s="23" t="n"/>
      <c r="Q57" s="23" t="n"/>
      <c r="S57" s="24" t="n"/>
      <c r="T57" s="24" t="n"/>
      <c r="U57" s="24" t="n"/>
    </row>
    <row r="58">
      <c r="J58" s="23" t="n"/>
      <c r="K58" s="23" t="n"/>
      <c r="L58" s="23" t="n"/>
      <c r="M58" s="23" t="n"/>
      <c r="N58" s="23" t="n"/>
      <c r="O58" s="23" t="n"/>
      <c r="P58" s="23" t="n"/>
      <c r="Q58" s="23" t="n"/>
      <c r="S58" s="24" t="n"/>
      <c r="T58" s="24" t="n"/>
      <c r="U58" s="24" t="n"/>
    </row>
    <row r="59">
      <c r="J59" s="23" t="n"/>
      <c r="K59" s="23" t="n"/>
      <c r="L59" s="23" t="n"/>
      <c r="M59" s="23" t="n"/>
      <c r="N59" s="23" t="n"/>
      <c r="O59" s="23" t="n"/>
      <c r="P59" s="23" t="n"/>
      <c r="Q59" s="23" t="n"/>
      <c r="S59" s="24" t="n"/>
      <c r="T59" s="24" t="n"/>
      <c r="U59" s="24" t="n"/>
    </row>
    <row r="60">
      <c r="J60" s="23" t="n"/>
      <c r="K60" s="23" t="n"/>
      <c r="L60" s="23" t="n"/>
      <c r="M60" s="23" t="n"/>
      <c r="N60" s="23" t="n"/>
      <c r="O60" s="23" t="n"/>
      <c r="P60" s="23" t="n"/>
      <c r="Q60" s="23" t="n"/>
      <c r="S60" s="24" t="n"/>
      <c r="T60" s="24" t="n"/>
      <c r="U60" s="24" t="n"/>
    </row>
    <row r="61">
      <c r="J61" s="23" t="n"/>
      <c r="K61" s="23" t="n"/>
      <c r="L61" s="23" t="n"/>
      <c r="M61" s="23" t="n"/>
      <c r="N61" s="23" t="n"/>
      <c r="O61" s="23" t="n"/>
      <c r="P61" s="23" t="n"/>
      <c r="Q61" s="23" t="n"/>
      <c r="S61" s="24" t="n"/>
      <c r="T61" s="24" t="n"/>
      <c r="U61" s="24" t="n"/>
    </row>
    <row r="62">
      <c r="J62" s="23" t="n"/>
      <c r="K62" s="23" t="n"/>
      <c r="L62" s="23" t="n"/>
      <c r="M62" s="23" t="n"/>
      <c r="N62" s="23" t="n"/>
      <c r="O62" s="23" t="n"/>
      <c r="P62" s="23" t="n"/>
      <c r="Q62" s="23" t="n"/>
      <c r="S62" s="24" t="n"/>
      <c r="T62" s="24" t="n"/>
      <c r="U62" s="24" t="n"/>
    </row>
    <row r="63">
      <c r="J63" s="23" t="n"/>
      <c r="K63" s="23" t="n"/>
      <c r="L63" s="23" t="n"/>
      <c r="M63" s="23" t="n"/>
      <c r="N63" s="23" t="n"/>
      <c r="O63" s="23" t="n"/>
      <c r="P63" s="23" t="n"/>
      <c r="Q63" s="23" t="n"/>
      <c r="S63" s="24" t="n"/>
      <c r="T63" s="24" t="n"/>
      <c r="U63" s="24" t="n"/>
    </row>
    <row r="64">
      <c r="J64" s="23" t="n"/>
      <c r="K64" s="23" t="n"/>
      <c r="L64" s="23" t="n"/>
      <c r="M64" s="23" t="n"/>
      <c r="N64" s="23" t="n"/>
      <c r="O64" s="23" t="n"/>
      <c r="P64" s="23" t="n"/>
      <c r="Q64" s="23" t="n"/>
      <c r="S64" s="24" t="n"/>
      <c r="T64" s="24" t="n"/>
      <c r="U64" s="24" t="n"/>
    </row>
    <row r="65">
      <c r="J65" s="23" t="n"/>
      <c r="K65" s="23" t="n"/>
      <c r="L65" s="23" t="n"/>
      <c r="M65" s="23" t="n"/>
      <c r="N65" s="23" t="n"/>
      <c r="O65" s="23" t="n"/>
      <c r="P65" s="23" t="n"/>
      <c r="Q65" s="23" t="n"/>
      <c r="S65" s="24" t="n"/>
      <c r="T65" s="24" t="n"/>
      <c r="U65" s="24" t="n"/>
    </row>
    <row r="66">
      <c r="J66" s="23" t="n"/>
      <c r="K66" s="23" t="n"/>
      <c r="L66" s="23" t="n"/>
      <c r="M66" s="23" t="n"/>
      <c r="N66" s="23" t="n"/>
      <c r="O66" s="23" t="n"/>
      <c r="P66" s="23" t="n"/>
      <c r="Q66" s="23" t="n"/>
      <c r="S66" s="24" t="n"/>
      <c r="T66" s="24" t="n"/>
      <c r="U66" s="24" t="n"/>
    </row>
    <row r="67">
      <c r="J67" s="23" t="n"/>
      <c r="K67" s="23" t="n"/>
      <c r="L67" s="23" t="n"/>
      <c r="M67" s="23" t="n"/>
      <c r="N67" s="23" t="n"/>
      <c r="O67" s="23" t="n"/>
      <c r="P67" s="23" t="n"/>
      <c r="Q67" s="23" t="n"/>
      <c r="S67" s="24" t="n"/>
      <c r="T67" s="24" t="n"/>
      <c r="U67" s="24" t="n"/>
    </row>
    <row r="68">
      <c r="J68" s="23" t="n"/>
      <c r="K68" s="23" t="n"/>
      <c r="L68" s="23" t="n"/>
      <c r="M68" s="23" t="n"/>
      <c r="N68" s="23" t="n"/>
      <c r="O68" s="23" t="n"/>
      <c r="P68" s="23" t="n"/>
      <c r="Q68" s="23" t="n"/>
      <c r="S68" s="24" t="n"/>
      <c r="T68" s="24" t="n"/>
      <c r="U68" s="24" t="n"/>
    </row>
    <row r="69">
      <c r="J69" s="23" t="n"/>
      <c r="K69" s="23" t="n"/>
      <c r="L69" s="23" t="n"/>
      <c r="M69" s="23" t="n"/>
      <c r="N69" s="23" t="n"/>
      <c r="O69" s="23" t="n"/>
      <c r="P69" s="23" t="n"/>
      <c r="Q69" s="23" t="n"/>
      <c r="S69" s="24" t="n"/>
      <c r="T69" s="24" t="n"/>
      <c r="U69" s="24" t="n"/>
    </row>
    <row r="70">
      <c r="J70" s="23" t="n"/>
      <c r="K70" s="23" t="n"/>
      <c r="L70" s="23" t="n"/>
      <c r="M70" s="23" t="n"/>
      <c r="N70" s="23" t="n"/>
      <c r="O70" s="23" t="n"/>
      <c r="P70" s="23" t="n"/>
      <c r="Q70" s="23" t="n"/>
      <c r="S70" s="24" t="n"/>
      <c r="T70" s="24" t="n"/>
      <c r="U70" s="24" t="n"/>
    </row>
    <row r="71">
      <c r="J71" s="23" t="n"/>
      <c r="K71" s="23" t="n"/>
      <c r="L71" s="23" t="n"/>
      <c r="M71" s="23" t="n"/>
      <c r="N71" s="23" t="n"/>
      <c r="O71" s="23" t="n"/>
      <c r="P71" s="23" t="n"/>
      <c r="Q71" s="23" t="n"/>
      <c r="S71" s="24" t="n"/>
      <c r="T71" s="24" t="n"/>
      <c r="U71" s="24" t="n"/>
    </row>
    <row r="72">
      <c r="J72" s="23" t="n"/>
      <c r="K72" s="23" t="n"/>
      <c r="L72" s="23" t="n"/>
      <c r="M72" s="23" t="n"/>
      <c r="N72" s="23" t="n"/>
      <c r="O72" s="23" t="n"/>
      <c r="P72" s="23" t="n"/>
      <c r="Q72" s="23" t="n"/>
      <c r="S72" s="24" t="n"/>
      <c r="T72" s="24" t="n"/>
      <c r="U72" s="24" t="n"/>
    </row>
    <row r="73">
      <c r="J73" s="23" t="n"/>
      <c r="K73" s="23" t="n"/>
      <c r="L73" s="23" t="n"/>
      <c r="M73" s="23" t="n"/>
      <c r="N73" s="23" t="n"/>
      <c r="O73" s="23" t="n"/>
      <c r="P73" s="23" t="n"/>
      <c r="Q73" s="23" t="n"/>
      <c r="S73" s="24" t="n"/>
      <c r="T73" s="24" t="n"/>
      <c r="U73" s="24" t="n"/>
    </row>
    <row r="74">
      <c r="J74" s="23" t="n"/>
      <c r="K74" s="23" t="n"/>
      <c r="L74" s="23" t="n"/>
      <c r="M74" s="23" t="n"/>
      <c r="N74" s="23" t="n"/>
      <c r="O74" s="23" t="n"/>
      <c r="P74" s="23" t="n"/>
      <c r="Q74" s="23" t="n"/>
      <c r="S74" s="24" t="n"/>
      <c r="T74" s="24" t="n"/>
      <c r="U74" s="24" t="n"/>
    </row>
    <row r="75">
      <c r="J75" s="23" t="n"/>
      <c r="K75" s="23" t="n"/>
      <c r="L75" s="23" t="n"/>
      <c r="M75" s="23" t="n"/>
      <c r="N75" s="23" t="n"/>
      <c r="O75" s="23" t="n"/>
      <c r="P75" s="23" t="n"/>
      <c r="Q75" s="23" t="n"/>
      <c r="S75" s="24" t="n"/>
      <c r="T75" s="24" t="n"/>
      <c r="U75" s="24" t="n"/>
    </row>
    <row r="76">
      <c r="J76" s="23" t="n"/>
      <c r="K76" s="23" t="n"/>
      <c r="L76" s="23" t="n"/>
      <c r="M76" s="23" t="n"/>
      <c r="N76" s="23" t="n"/>
      <c r="O76" s="23" t="n"/>
      <c r="P76" s="23" t="n"/>
      <c r="Q76" s="23" t="n"/>
      <c r="S76" s="24" t="n"/>
      <c r="T76" s="24" t="n"/>
      <c r="U76" s="24" t="n"/>
    </row>
    <row r="77">
      <c r="J77" s="23" t="n"/>
      <c r="K77" s="23" t="n"/>
      <c r="L77" s="23" t="n"/>
      <c r="M77" s="23" t="n"/>
      <c r="N77" s="23" t="n"/>
      <c r="O77" s="23" t="n"/>
      <c r="P77" s="23" t="n"/>
      <c r="Q77" s="23" t="n"/>
      <c r="S77" s="24" t="n"/>
      <c r="T77" s="24" t="n"/>
      <c r="U77" s="24" t="n"/>
    </row>
    <row r="78">
      <c r="J78" s="23" t="n"/>
      <c r="K78" s="23" t="n"/>
      <c r="L78" s="23" t="n"/>
      <c r="M78" s="23" t="n"/>
      <c r="N78" s="23" t="n"/>
      <c r="O78" s="23" t="n"/>
      <c r="P78" s="23" t="n"/>
      <c r="Q78" s="23" t="n"/>
      <c r="S78" s="24" t="n"/>
      <c r="T78" s="24" t="n"/>
      <c r="U78" s="24" t="n"/>
    </row>
    <row r="79">
      <c r="J79" s="23" t="n"/>
      <c r="K79" s="23" t="n"/>
      <c r="L79" s="23" t="n"/>
      <c r="M79" s="23" t="n"/>
      <c r="N79" s="23" t="n"/>
      <c r="O79" s="23" t="n"/>
      <c r="P79" s="23" t="n"/>
      <c r="Q79" s="23" t="n"/>
      <c r="S79" s="24" t="n"/>
      <c r="T79" s="24" t="n"/>
      <c r="U79" s="24" t="n"/>
    </row>
    <row r="80">
      <c r="J80" s="23" t="n"/>
      <c r="K80" s="23" t="n"/>
      <c r="L80" s="23" t="n"/>
      <c r="M80" s="23" t="n"/>
      <c r="N80" s="23" t="n"/>
      <c r="O80" s="23" t="n"/>
      <c r="P80" s="23" t="n"/>
      <c r="Q80" s="23" t="n"/>
      <c r="S80" s="24" t="n"/>
      <c r="T80" s="24" t="n"/>
      <c r="U80" s="24" t="n"/>
    </row>
    <row r="81">
      <c r="J81" s="23" t="n"/>
      <c r="K81" s="23" t="n"/>
      <c r="L81" s="23" t="n"/>
      <c r="M81" s="23" t="n"/>
      <c r="N81" s="23" t="n"/>
      <c r="O81" s="23" t="n"/>
      <c r="P81" s="23" t="n"/>
      <c r="Q81" s="23" t="n"/>
      <c r="S81" s="24" t="n"/>
      <c r="T81" s="24" t="n"/>
      <c r="U81" s="24" t="n"/>
    </row>
    <row r="82">
      <c r="J82" s="23" t="n"/>
      <c r="K82" s="23" t="n"/>
      <c r="L82" s="23" t="n"/>
      <c r="M82" s="23" t="n"/>
      <c r="N82" s="23" t="n"/>
      <c r="O82" s="23" t="n"/>
      <c r="P82" s="23" t="n"/>
      <c r="Q82" s="23" t="n"/>
      <c r="S82" s="24" t="n"/>
      <c r="T82" s="24" t="n"/>
      <c r="U82" s="24" t="n"/>
    </row>
    <row r="83">
      <c r="J83" s="23" t="n"/>
      <c r="K83" s="23" t="n"/>
      <c r="L83" s="23" t="n"/>
      <c r="M83" s="23" t="n"/>
      <c r="N83" s="23" t="n"/>
      <c r="O83" s="23" t="n"/>
      <c r="P83" s="23" t="n"/>
      <c r="Q83" s="23" t="n"/>
      <c r="S83" s="24" t="n"/>
      <c r="T83" s="24" t="n"/>
      <c r="U83" s="24" t="n"/>
    </row>
    <row r="84">
      <c r="J84" s="23" t="n"/>
      <c r="K84" s="23" t="n"/>
      <c r="L84" s="23" t="n"/>
      <c r="M84" s="23" t="n"/>
      <c r="N84" s="23" t="n"/>
      <c r="O84" s="23" t="n"/>
      <c r="P84" s="23" t="n"/>
      <c r="Q84" s="23" t="n"/>
      <c r="S84" s="24" t="n"/>
      <c r="T84" s="24" t="n"/>
      <c r="U84" s="24" t="n"/>
    </row>
    <row r="85">
      <c r="J85" s="23" t="n"/>
      <c r="K85" s="23" t="n"/>
      <c r="L85" s="23" t="n"/>
      <c r="M85" s="23" t="n"/>
      <c r="N85" s="23" t="n"/>
      <c r="O85" s="23" t="n"/>
      <c r="P85" s="23" t="n"/>
      <c r="Q85" s="23" t="n"/>
      <c r="S85" s="24" t="n"/>
      <c r="T85" s="24" t="n"/>
      <c r="U85" s="24" t="n"/>
    </row>
    <row r="86">
      <c r="J86" s="23" t="n"/>
      <c r="K86" s="23" t="n"/>
      <c r="L86" s="23" t="n"/>
      <c r="M86" s="23" t="n"/>
      <c r="N86" s="23" t="n"/>
      <c r="O86" s="23" t="n"/>
      <c r="P86" s="23" t="n"/>
      <c r="Q86" s="23" t="n"/>
      <c r="S86" s="24" t="n"/>
      <c r="T86" s="24" t="n"/>
      <c r="U86" s="24" t="n"/>
    </row>
    <row r="87">
      <c r="J87" s="23" t="n"/>
      <c r="K87" s="23" t="n"/>
      <c r="L87" s="23" t="n"/>
      <c r="M87" s="23" t="n"/>
      <c r="N87" s="23" t="n"/>
      <c r="O87" s="23" t="n"/>
      <c r="P87" s="23" t="n"/>
      <c r="Q87" s="23" t="n"/>
      <c r="S87" s="24" t="n"/>
      <c r="T87" s="24" t="n"/>
      <c r="U87" s="24" t="n"/>
    </row>
    <row r="88">
      <c r="J88" s="23" t="n"/>
      <c r="K88" s="23" t="n"/>
      <c r="L88" s="23" t="n"/>
      <c r="M88" s="23" t="n"/>
      <c r="N88" s="23" t="n"/>
      <c r="O88" s="23" t="n"/>
      <c r="P88" s="23" t="n"/>
      <c r="Q88" s="23" t="n"/>
      <c r="S88" s="24" t="n"/>
      <c r="T88" s="24" t="n"/>
      <c r="U88" s="24" t="n"/>
    </row>
    <row r="89">
      <c r="J89" s="23" t="n"/>
      <c r="K89" s="23" t="n"/>
      <c r="L89" s="23" t="n"/>
      <c r="M89" s="23" t="n"/>
      <c r="N89" s="23" t="n"/>
      <c r="O89" s="23" t="n"/>
      <c r="P89" s="23" t="n"/>
      <c r="Q89" s="23" t="n"/>
      <c r="S89" s="24" t="n"/>
      <c r="T89" s="24" t="n"/>
      <c r="U89" s="24" t="n"/>
    </row>
    <row r="90">
      <c r="J90" s="23" t="n"/>
      <c r="K90" s="23" t="n"/>
      <c r="L90" s="23" t="n"/>
      <c r="M90" s="23" t="n"/>
      <c r="N90" s="23" t="n"/>
      <c r="O90" s="23" t="n"/>
      <c r="P90" s="23" t="n"/>
      <c r="Q90" s="23" t="n"/>
      <c r="S90" s="24" t="n"/>
      <c r="T90" s="24" t="n"/>
      <c r="U90" s="24" t="n"/>
    </row>
    <row r="91">
      <c r="J91" s="23" t="n"/>
      <c r="K91" s="23" t="n"/>
      <c r="L91" s="23" t="n"/>
      <c r="M91" s="23" t="n"/>
      <c r="N91" s="23" t="n"/>
      <c r="O91" s="23" t="n"/>
      <c r="P91" s="23" t="n"/>
      <c r="Q91" s="23" t="n"/>
      <c r="S91" s="24" t="n"/>
      <c r="T91" s="24" t="n"/>
      <c r="U91" s="24" t="n"/>
    </row>
    <row r="92">
      <c r="J92" s="23" t="n"/>
      <c r="K92" s="23" t="n"/>
      <c r="L92" s="23" t="n"/>
      <c r="M92" s="23" t="n"/>
      <c r="N92" s="23" t="n"/>
      <c r="O92" s="23" t="n"/>
      <c r="P92" s="23" t="n"/>
      <c r="Q92" s="23" t="n"/>
      <c r="S92" s="24" t="n"/>
      <c r="T92" s="24" t="n"/>
      <c r="U92" s="24" t="n"/>
    </row>
    <row r="93">
      <c r="J93" s="23" t="n"/>
      <c r="K93" s="23" t="n"/>
      <c r="L93" s="23" t="n"/>
      <c r="M93" s="23" t="n"/>
      <c r="N93" s="23" t="n"/>
      <c r="O93" s="23" t="n"/>
      <c r="P93" s="23" t="n"/>
      <c r="Q93" s="23" t="n"/>
      <c r="S93" s="24" t="n"/>
      <c r="T93" s="24" t="n"/>
      <c r="U93" s="24" t="n"/>
    </row>
    <row r="94">
      <c r="J94" s="23" t="n"/>
      <c r="K94" s="23" t="n"/>
      <c r="L94" s="23" t="n"/>
      <c r="M94" s="23" t="n"/>
      <c r="N94" s="23" t="n"/>
      <c r="O94" s="23" t="n"/>
      <c r="P94" s="23" t="n"/>
      <c r="Q94" s="23" t="n"/>
      <c r="S94" s="24" t="n"/>
      <c r="T94" s="24" t="n"/>
      <c r="U94" s="24" t="n"/>
    </row>
    <row r="95">
      <c r="J95" s="23" t="n"/>
      <c r="K95" s="23" t="n"/>
      <c r="L95" s="23" t="n"/>
      <c r="M95" s="23" t="n"/>
      <c r="N95" s="23" t="n"/>
      <c r="O95" s="23" t="n"/>
      <c r="P95" s="23" t="n"/>
      <c r="Q95" s="23" t="n"/>
      <c r="S95" s="24" t="n"/>
      <c r="T95" s="24" t="n"/>
      <c r="U95" s="24" t="n"/>
    </row>
    <row r="96">
      <c r="J96" s="23" t="n"/>
      <c r="K96" s="23" t="n"/>
      <c r="L96" s="23" t="n"/>
      <c r="M96" s="23" t="n"/>
      <c r="N96" s="23" t="n"/>
      <c r="O96" s="23" t="n"/>
      <c r="P96" s="23" t="n"/>
      <c r="Q96" s="23" t="n"/>
      <c r="S96" s="24" t="n"/>
      <c r="T96" s="24" t="n"/>
      <c r="U96" s="24" t="n"/>
    </row>
    <row r="97">
      <c r="J97" s="23" t="n"/>
      <c r="K97" s="23" t="n"/>
      <c r="L97" s="23" t="n"/>
      <c r="M97" s="23" t="n"/>
      <c r="N97" s="23" t="n"/>
      <c r="O97" s="23" t="n"/>
      <c r="P97" s="23" t="n"/>
      <c r="Q97" s="23" t="n"/>
      <c r="S97" s="24" t="n"/>
      <c r="T97" s="24" t="n"/>
      <c r="U97" s="24" t="n"/>
    </row>
    <row r="98">
      <c r="J98" s="23" t="n"/>
      <c r="K98" s="23" t="n"/>
      <c r="L98" s="23" t="n"/>
      <c r="M98" s="23" t="n"/>
      <c r="N98" s="23" t="n"/>
      <c r="O98" s="23" t="n"/>
      <c r="P98" s="23" t="n"/>
      <c r="Q98" s="23" t="n"/>
      <c r="S98" s="24" t="n"/>
      <c r="T98" s="24" t="n"/>
      <c r="U98" s="24" t="n"/>
    </row>
    <row r="99">
      <c r="J99" s="23" t="n"/>
      <c r="K99" s="23" t="n"/>
      <c r="L99" s="23" t="n"/>
      <c r="M99" s="23" t="n"/>
      <c r="N99" s="23" t="n"/>
      <c r="O99" s="23" t="n"/>
      <c r="P99" s="23" t="n"/>
      <c r="Q99" s="23" t="n"/>
      <c r="S99" s="24" t="n"/>
      <c r="T99" s="24" t="n"/>
      <c r="U99" s="24" t="n"/>
    </row>
    <row r="100">
      <c r="J100" s="23" t="n"/>
      <c r="K100" s="23" t="n"/>
      <c r="L100" s="23" t="n"/>
      <c r="M100" s="23" t="n"/>
      <c r="N100" s="23" t="n"/>
      <c r="O100" s="23" t="n"/>
      <c r="P100" s="23" t="n"/>
      <c r="Q100" s="23" t="n"/>
      <c r="S100" s="24" t="n"/>
      <c r="T100" s="24" t="n"/>
      <c r="U100" s="24" t="n"/>
    </row>
    <row r="101">
      <c r="J101" s="23" t="n"/>
      <c r="K101" s="23" t="n"/>
      <c r="L101" s="23" t="n"/>
      <c r="M101" s="23" t="n"/>
      <c r="N101" s="23" t="n"/>
      <c r="O101" s="23" t="n"/>
      <c r="P101" s="23" t="n"/>
      <c r="Q101" s="23" t="n"/>
      <c r="S101" s="24" t="n"/>
      <c r="T101" s="24" t="n"/>
      <c r="U101" s="24" t="n"/>
    </row>
    <row r="102">
      <c r="J102" s="23" t="n"/>
      <c r="K102" s="23" t="n"/>
      <c r="L102" s="23" t="n"/>
      <c r="M102" s="23" t="n"/>
      <c r="N102" s="23" t="n"/>
      <c r="O102" s="23" t="n"/>
      <c r="P102" s="23" t="n"/>
      <c r="Q102" s="23" t="n"/>
      <c r="S102" s="24" t="n"/>
      <c r="T102" s="24" t="n"/>
      <c r="U102" s="24" t="n"/>
    </row>
    <row r="103">
      <c r="J103" s="23" t="n"/>
      <c r="K103" s="23" t="n"/>
      <c r="L103" s="23" t="n"/>
      <c r="M103" s="23" t="n"/>
      <c r="N103" s="23" t="n"/>
      <c r="O103" s="23" t="n"/>
      <c r="P103" s="23" t="n"/>
      <c r="Q103" s="23" t="n"/>
      <c r="S103" s="24" t="n"/>
      <c r="T103" s="24" t="n"/>
      <c r="U103" s="24" t="n"/>
    </row>
    <row r="104">
      <c r="J104" s="23" t="n"/>
      <c r="K104" s="23" t="n"/>
      <c r="L104" s="23" t="n"/>
      <c r="M104" s="23" t="n"/>
      <c r="N104" s="23" t="n"/>
      <c r="O104" s="23" t="n"/>
      <c r="P104" s="23" t="n"/>
      <c r="Q104" s="23" t="n"/>
      <c r="S104" s="24" t="n"/>
      <c r="T104" s="24" t="n"/>
      <c r="U104" s="24" t="n"/>
    </row>
    <row r="105">
      <c r="J105" s="23" t="n"/>
      <c r="K105" s="23" t="n"/>
      <c r="L105" s="23" t="n"/>
      <c r="M105" s="23" t="n"/>
      <c r="N105" s="23" t="n"/>
      <c r="O105" s="23" t="n"/>
      <c r="P105" s="23" t="n"/>
      <c r="Q105" s="23" t="n"/>
      <c r="S105" s="24" t="n"/>
      <c r="T105" s="24" t="n"/>
      <c r="U105" s="24" t="n"/>
    </row>
    <row r="106">
      <c r="J106" s="23" t="n"/>
      <c r="K106" s="23" t="n"/>
      <c r="L106" s="23" t="n"/>
      <c r="M106" s="23" t="n"/>
      <c r="N106" s="23" t="n"/>
      <c r="O106" s="23" t="n"/>
      <c r="P106" s="23" t="n"/>
      <c r="Q106" s="23" t="n"/>
      <c r="S106" s="24" t="n"/>
      <c r="T106" s="24" t="n"/>
      <c r="U106" s="24" t="n"/>
    </row>
    <row r="107">
      <c r="J107" s="23" t="n"/>
      <c r="K107" s="23" t="n"/>
      <c r="L107" s="23" t="n"/>
      <c r="M107" s="23" t="n"/>
      <c r="N107" s="23" t="n"/>
      <c r="O107" s="23" t="n"/>
      <c r="P107" s="23" t="n"/>
      <c r="Q107" s="23" t="n"/>
      <c r="S107" s="24" t="n"/>
      <c r="T107" s="24" t="n"/>
      <c r="U107" s="24" t="n"/>
    </row>
    <row r="108">
      <c r="J108" s="23" t="n"/>
      <c r="K108" s="23" t="n"/>
      <c r="L108" s="23" t="n"/>
      <c r="M108" s="23" t="n"/>
      <c r="N108" s="23" t="n"/>
      <c r="O108" s="23" t="n"/>
      <c r="P108" s="23" t="n"/>
      <c r="Q108" s="23" t="n"/>
      <c r="S108" s="24" t="n"/>
      <c r="T108" s="24" t="n"/>
      <c r="U108" s="24" t="n"/>
    </row>
    <row r="109">
      <c r="J109" s="23" t="n"/>
      <c r="K109" s="23" t="n"/>
      <c r="L109" s="23" t="n"/>
      <c r="M109" s="23" t="n"/>
      <c r="N109" s="23" t="n"/>
      <c r="O109" s="23" t="n"/>
      <c r="P109" s="23" t="n"/>
      <c r="Q109" s="23" t="n"/>
      <c r="S109" s="24" t="n"/>
      <c r="T109" s="24" t="n"/>
      <c r="U109" s="24" t="n"/>
    </row>
    <row r="110">
      <c r="J110" s="23" t="n"/>
      <c r="K110" s="23" t="n"/>
      <c r="L110" s="23" t="n"/>
      <c r="M110" s="23" t="n"/>
      <c r="N110" s="23" t="n"/>
      <c r="O110" s="23" t="n"/>
      <c r="P110" s="23" t="n"/>
      <c r="Q110" s="23" t="n"/>
      <c r="S110" s="24" t="n"/>
      <c r="T110" s="24" t="n"/>
      <c r="U110" s="24" t="n"/>
    </row>
    <row r="111">
      <c r="J111" s="23" t="n"/>
      <c r="K111" s="23" t="n"/>
      <c r="L111" s="23" t="n"/>
      <c r="M111" s="23" t="n"/>
      <c r="N111" s="23" t="n"/>
      <c r="O111" s="23" t="n"/>
      <c r="P111" s="23" t="n"/>
      <c r="Q111" s="23" t="n"/>
      <c r="S111" s="24" t="n"/>
      <c r="T111" s="24" t="n"/>
      <c r="U111" s="24" t="n"/>
    </row>
    <row r="112">
      <c r="J112" s="23" t="n"/>
      <c r="K112" s="23" t="n"/>
      <c r="L112" s="23" t="n"/>
      <c r="M112" s="23" t="n"/>
      <c r="N112" s="23" t="n"/>
      <c r="O112" s="23" t="n"/>
      <c r="P112" s="23" t="n"/>
      <c r="Q112" s="23" t="n"/>
      <c r="S112" s="24" t="n"/>
      <c r="T112" s="24" t="n"/>
      <c r="U112" s="24" t="n"/>
    </row>
    <row r="113">
      <c r="J113" s="23" t="n"/>
      <c r="K113" s="23" t="n"/>
      <c r="L113" s="23" t="n"/>
      <c r="M113" s="23" t="n"/>
      <c r="N113" s="23" t="n"/>
      <c r="O113" s="23" t="n"/>
      <c r="P113" s="23" t="n"/>
      <c r="Q113" s="23" t="n"/>
      <c r="S113" s="24" t="n"/>
      <c r="T113" s="24" t="n"/>
      <c r="U113" s="24" t="n"/>
    </row>
    <row r="114">
      <c r="J114" s="23" t="n"/>
      <c r="K114" s="23" t="n"/>
      <c r="L114" s="23" t="n"/>
      <c r="M114" s="23" t="n"/>
      <c r="N114" s="23" t="n"/>
      <c r="O114" s="23" t="n"/>
      <c r="P114" s="23" t="n"/>
      <c r="Q114" s="23" t="n"/>
      <c r="S114" s="24" t="n"/>
      <c r="T114" s="24" t="n"/>
      <c r="U114" s="24" t="n"/>
    </row>
    <row r="115">
      <c r="J115" s="23" t="n"/>
      <c r="K115" s="23" t="n"/>
      <c r="L115" s="23" t="n"/>
      <c r="M115" s="23" t="n"/>
      <c r="N115" s="23" t="n"/>
      <c r="O115" s="23" t="n"/>
      <c r="P115" s="23" t="n"/>
      <c r="Q115" s="23" t="n"/>
      <c r="S115" s="24" t="n"/>
      <c r="T115" s="24" t="n"/>
      <c r="U115" s="24" t="n"/>
    </row>
    <row r="116">
      <c r="J116" s="23" t="n"/>
      <c r="K116" s="23" t="n"/>
      <c r="L116" s="23" t="n"/>
      <c r="M116" s="23" t="n"/>
      <c r="N116" s="23" t="n"/>
      <c r="O116" s="23" t="n"/>
      <c r="P116" s="23" t="n"/>
      <c r="Q116" s="23" t="n"/>
      <c r="S116" s="24" t="n"/>
      <c r="T116" s="24" t="n"/>
      <c r="U116" s="24" t="n"/>
    </row>
    <row r="117">
      <c r="J117" s="23" t="n"/>
      <c r="K117" s="23" t="n"/>
      <c r="L117" s="23" t="n"/>
      <c r="M117" s="23" t="n"/>
      <c r="N117" s="23" t="n"/>
      <c r="O117" s="23" t="n"/>
      <c r="P117" s="23" t="n"/>
      <c r="Q117" s="23" t="n"/>
      <c r="S117" s="24" t="n"/>
      <c r="T117" s="24" t="n"/>
      <c r="U117" s="24" t="n"/>
    </row>
    <row r="118">
      <c r="J118" s="23" t="n"/>
      <c r="K118" s="23" t="n"/>
      <c r="L118" s="23" t="n"/>
      <c r="M118" s="23" t="n"/>
      <c r="N118" s="23" t="n"/>
      <c r="O118" s="23" t="n"/>
      <c r="P118" s="23" t="n"/>
      <c r="Q118" s="23" t="n"/>
      <c r="S118" s="24" t="n"/>
      <c r="T118" s="24" t="n"/>
      <c r="U118" s="24" t="n"/>
    </row>
    <row r="119">
      <c r="J119" s="23" t="n"/>
      <c r="K119" s="23" t="n"/>
      <c r="L119" s="23" t="n"/>
      <c r="M119" s="23" t="n"/>
      <c r="N119" s="23" t="n"/>
      <c r="O119" s="23" t="n"/>
      <c r="P119" s="23" t="n"/>
      <c r="Q119" s="23" t="n"/>
      <c r="S119" s="24" t="n"/>
      <c r="T119" s="24" t="n"/>
      <c r="U119" s="24" t="n"/>
    </row>
    <row r="120">
      <c r="J120" s="23" t="n"/>
      <c r="K120" s="23" t="n"/>
      <c r="L120" s="23" t="n"/>
      <c r="M120" s="23" t="n"/>
      <c r="N120" s="23" t="n"/>
      <c r="O120" s="23" t="n"/>
      <c r="P120" s="23" t="n"/>
      <c r="Q120" s="23" t="n"/>
      <c r="S120" s="24" t="n"/>
      <c r="T120" s="24" t="n"/>
      <c r="U120" s="24" t="n"/>
    </row>
    <row r="121">
      <c r="J121" s="23" t="n"/>
      <c r="K121" s="23" t="n"/>
      <c r="L121" s="23" t="n"/>
      <c r="M121" s="23" t="n"/>
      <c r="N121" s="23" t="n"/>
      <c r="O121" s="23" t="n"/>
      <c r="P121" s="23" t="n"/>
      <c r="Q121" s="23" t="n"/>
      <c r="S121" s="24" t="n"/>
      <c r="T121" s="24" t="n"/>
      <c r="U121" s="24" t="n"/>
    </row>
    <row r="122">
      <c r="J122" s="23" t="n"/>
      <c r="K122" s="23" t="n"/>
      <c r="L122" s="23" t="n"/>
      <c r="M122" s="23" t="n"/>
      <c r="N122" s="23" t="n"/>
      <c r="O122" s="23" t="n"/>
      <c r="P122" s="23" t="n"/>
      <c r="Q122" s="23" t="n"/>
      <c r="S122" s="24" t="n"/>
      <c r="T122" s="24" t="n"/>
      <c r="U122" s="24" t="n"/>
    </row>
    <row r="123">
      <c r="J123" s="23" t="n"/>
      <c r="K123" s="23" t="n"/>
      <c r="L123" s="23" t="n"/>
      <c r="M123" s="23" t="n"/>
      <c r="N123" s="23" t="n"/>
      <c r="O123" s="23" t="n"/>
      <c r="P123" s="23" t="n"/>
      <c r="Q123" s="23" t="n"/>
      <c r="S123" s="24" t="n"/>
      <c r="T123" s="24" t="n"/>
      <c r="U123" s="24" t="n"/>
    </row>
    <row r="124">
      <c r="J124" s="23" t="n"/>
      <c r="K124" s="23" t="n"/>
      <c r="L124" s="23" t="n"/>
      <c r="M124" s="23" t="n"/>
      <c r="N124" s="23" t="n"/>
      <c r="O124" s="23" t="n"/>
      <c r="P124" s="23" t="n"/>
      <c r="Q124" s="23" t="n"/>
      <c r="S124" s="24" t="n"/>
      <c r="T124" s="24" t="n"/>
      <c r="U124" s="24" t="n"/>
    </row>
    <row r="125">
      <c r="J125" s="23" t="n"/>
      <c r="K125" s="23" t="n"/>
      <c r="L125" s="23" t="n"/>
      <c r="M125" s="23" t="n"/>
      <c r="N125" s="23" t="n"/>
      <c r="O125" s="23" t="n"/>
      <c r="P125" s="23" t="n"/>
      <c r="Q125" s="23" t="n"/>
      <c r="S125" s="24" t="n"/>
      <c r="T125" s="24" t="n"/>
      <c r="U125" s="24" t="n"/>
    </row>
    <row r="126">
      <c r="J126" s="23" t="n"/>
      <c r="K126" s="23" t="n"/>
      <c r="L126" s="23" t="n"/>
      <c r="M126" s="23" t="n"/>
      <c r="N126" s="23" t="n"/>
      <c r="O126" s="23" t="n"/>
      <c r="P126" s="23" t="n"/>
      <c r="Q126" s="23" t="n"/>
      <c r="S126" s="24" t="n"/>
      <c r="T126" s="24" t="n"/>
      <c r="U126" s="24" t="n"/>
    </row>
    <row r="127">
      <c r="J127" s="23" t="n"/>
      <c r="K127" s="23" t="n"/>
      <c r="L127" s="23" t="n"/>
      <c r="M127" s="23" t="n"/>
      <c r="N127" s="23" t="n"/>
      <c r="O127" s="23" t="n"/>
      <c r="P127" s="23" t="n"/>
      <c r="Q127" s="23" t="n"/>
      <c r="S127" s="24" t="n"/>
      <c r="T127" s="24" t="n"/>
      <c r="U127" s="24" t="n"/>
    </row>
    <row r="128">
      <c r="J128" s="23" t="n"/>
      <c r="K128" s="23" t="n"/>
      <c r="L128" s="23" t="n"/>
      <c r="M128" s="23" t="n"/>
      <c r="N128" s="23" t="n"/>
      <c r="O128" s="23" t="n"/>
      <c r="P128" s="23" t="n"/>
      <c r="Q128" s="23" t="n"/>
      <c r="S128" s="24" t="n"/>
      <c r="T128" s="24" t="n"/>
      <c r="U128" s="24" t="n"/>
    </row>
    <row r="129">
      <c r="J129" s="23" t="n"/>
      <c r="K129" s="23" t="n"/>
      <c r="L129" s="23" t="n"/>
      <c r="M129" s="23" t="n"/>
      <c r="N129" s="23" t="n"/>
      <c r="O129" s="23" t="n"/>
      <c r="P129" s="23" t="n"/>
      <c r="Q129" s="23" t="n"/>
      <c r="S129" s="24" t="n"/>
      <c r="T129" s="24" t="n"/>
      <c r="U129" s="24" t="n"/>
    </row>
    <row r="130">
      <c r="J130" s="23" t="n"/>
      <c r="K130" s="23" t="n"/>
      <c r="L130" s="23" t="n"/>
      <c r="M130" s="23" t="n"/>
      <c r="N130" s="23" t="n"/>
      <c r="O130" s="23" t="n"/>
      <c r="P130" s="23" t="n"/>
      <c r="Q130" s="23" t="n"/>
      <c r="S130" s="24" t="n"/>
      <c r="T130" s="24" t="n"/>
      <c r="U130" s="24" t="n"/>
    </row>
    <row r="131">
      <c r="J131" s="23" t="n"/>
      <c r="K131" s="23" t="n"/>
      <c r="L131" s="23" t="n"/>
      <c r="M131" s="23" t="n"/>
      <c r="N131" s="23" t="n"/>
      <c r="O131" s="23" t="n"/>
      <c r="P131" s="23" t="n"/>
      <c r="Q131" s="23" t="n"/>
      <c r="S131" s="24" t="n"/>
      <c r="T131" s="24" t="n"/>
      <c r="U131" s="24" t="n"/>
    </row>
  </sheetData>
  <mergeCells count="3">
    <mergeCell ref="J1:Q1"/>
    <mergeCell ref="S1:U1"/>
    <mergeCell ref="A1:H1"/>
  </mergeCells>
  <dataValidations count="1">
    <dataValidation sqref="E3:F52" showDropDown="0" showInputMessage="0" showErrorMessage="0" allowBlank="1" errorTitle="请用下拉" error="请从下拉列表里选，不要自己改字" promptTitle="单选" prompt="点右边箭头选择" type="list">
      <formula1>选项库!$I$3:$I$5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  <col width="22" customWidth="1" min="6" max="6"/>
    <col width="12" customWidth="1" min="7" max="7"/>
    <col width="18" customWidth="1" min="8" max="8"/>
    <col width="3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 ht="48" customHeight="1">
      <c r="A1" s="4" t="inlineStr">
        <is>
          <t>进步最大是公式，跟着「每周积分」X1 的周次走。讲题最佳、帮扶最多请你用下拉点。本期主IP 自动看这三人点单表第6题，空则退回第5题。出镜前看学生档案 T_红线 和 第16题。</t>
        </is>
      </c>
      <c r="B1" s="5" t="n"/>
      <c r="C1" s="5" t="n"/>
      <c r="D1" s="5" t="n"/>
      <c r="E1" s="5" t="n"/>
      <c r="F1" s="5" t="n"/>
      <c r="G1" s="5" t="n"/>
      <c r="H1" s="5" t="n"/>
    </row>
    <row r="2" ht="36" customHeight="1">
      <c r="A2" s="25" t="inlineStr">
        <is>
          <t>周次</t>
        </is>
      </c>
      <c r="B2" s="25" t="inlineStr">
        <is>
          <t>进步最大（自动）</t>
        </is>
      </c>
      <c r="C2" s="25" t="inlineStr">
        <is>
          <t>讲题最佳（手选）</t>
        </is>
      </c>
      <c r="D2" s="25" t="inlineStr">
        <is>
          <t>帮扶最多（手选）</t>
        </is>
      </c>
      <c r="E2" s="25" t="inlineStr">
        <is>
          <t>本期主IP（自动）</t>
        </is>
      </c>
      <c r="F2" s="25" t="inlineStr">
        <is>
          <t>漫画主题</t>
        </is>
      </c>
      <c r="G2" s="25" t="inlineStr">
        <is>
          <t>是否已生成</t>
        </is>
      </c>
      <c r="H2" s="25" t="inlineStr">
        <is>
          <t>备注</t>
        </is>
      </c>
      <c r="J2" s="26" t="inlineStr">
        <is>
          <t>姓名</t>
        </is>
      </c>
      <c r="K2" s="26" t="inlineStr">
        <is>
          <t>本周分</t>
        </is>
      </c>
      <c r="L2" s="26" t="inlineStr">
        <is>
          <t>上周分</t>
        </is>
      </c>
      <c r="M2" s="26" t="inlineStr">
        <is>
          <t>进步</t>
        </is>
      </c>
    </row>
    <row r="3">
      <c r="A3" s="15" t="inlineStr">
        <is>
          <t>第1周</t>
        </is>
      </c>
      <c r="B3" s="15" t="inlineStr"/>
      <c r="C3" s="22" t="n"/>
      <c r="D3" s="22" t="n"/>
      <c r="E3" s="17">
        <f>IF(AND(B3="",C3="",D3=""),"",IFERROR(IF(AND(VLOOKUP(B3,学生档案!$C:$I,7,FALSE)&lt;&gt;"",OR(VLOOKUP(B3,学生档案!$C:$I,7,FALSE)=VLOOKUP(C3,学生档案!$C:$I,7,FALSE),VLOOKUP(B3,学生档案!$C:$I,7,FALSE)=VLOOKUP(D3,学生档案!$C:$I,7,FALSE))),VLOOKUP(B3,学生档案!$C:$I,7,FALSE),IF(AND(C3&lt;&gt;"",D3&lt;&gt;"",VLOOKUP(C3,学生档案!$C:$I,7,FALSE)=VLOOKUP(D3,学生档案!$C:$I,7,FALSE)),VLOOKUP(C3,学生档案!$C:$I,7,FALSE),IFERROR(IF(VLOOKUP(B3,学生档案!$C:$I,7,FALSE)&lt;&gt;"",VLOOKUP(B3,学生档案!$C:$I,7,FALSE),VLOOKUP(B3,学生档案!$C:$H,6,FALSE)),""))),""))</f>
        <v/>
      </c>
      <c r="F3" s="15" t="n"/>
      <c r="G3" s="22" t="n"/>
      <c r="H3" s="15" t="n"/>
      <c r="J3" s="27">
        <f>IF(每周积分!B3="","",每周积分!B3)</f>
        <v/>
      </c>
      <c r="K3" s="27">
        <f>IF(J3="","",IFERROR(INDEX(每周积分!C3:T3,1,每周积分!$X$1),0))</f>
        <v/>
      </c>
      <c r="L3" s="27">
        <f>IF(OR(J3="",每周积分!$X$1&lt;=1),"",IFERROR(INDEX(每周积分!C3:T3,1,每周积分!$X$1-1),0))</f>
        <v/>
      </c>
      <c r="M3" s="27">
        <f>IF(J3="","",IF(每周积分!$X$1&lt;=1,"",N(K3)-N(L3)))</f>
        <v/>
      </c>
    </row>
    <row r="4">
      <c r="A4" s="15" t="inlineStr">
        <is>
          <t>第2周</t>
        </is>
      </c>
      <c r="B4" s="15">
        <f>IF(每周积分!$X$1&lt;&gt;2,"",IFERROR(INDEX($J$3:$J$52,MATCH(MAX($M$3:$M$52),$M$3:$M$52,0)),""))</f>
        <v/>
      </c>
      <c r="C4" s="22" t="n"/>
      <c r="D4" s="22" t="n"/>
      <c r="E4" s="17">
        <f>IF(AND(B4="",C4="",D4=""),"",IFERROR(IF(AND(VLOOKUP(B4,学生档案!$C:$I,7,FALSE)&lt;&gt;"",OR(VLOOKUP(B4,学生档案!$C:$I,7,FALSE)=VLOOKUP(C4,学生档案!$C:$I,7,FALSE),VLOOKUP(B4,学生档案!$C:$I,7,FALSE)=VLOOKUP(D4,学生档案!$C:$I,7,FALSE))),VLOOKUP(B4,学生档案!$C:$I,7,FALSE),IF(AND(C4&lt;&gt;"",D4&lt;&gt;"",VLOOKUP(C4,学生档案!$C:$I,7,FALSE)=VLOOKUP(D4,学生档案!$C:$I,7,FALSE)),VLOOKUP(C4,学生档案!$C:$I,7,FALSE),IFERROR(IF(VLOOKUP(B4,学生档案!$C:$I,7,FALSE)&lt;&gt;"",VLOOKUP(B4,学生档案!$C:$I,7,FALSE),VLOOKUP(B4,学生档案!$C:$H,6,FALSE)),""))),""))</f>
        <v/>
      </c>
      <c r="F4" s="15" t="n"/>
      <c r="G4" s="22" t="n"/>
      <c r="H4" s="15" t="n"/>
      <c r="J4" s="27">
        <f>IF(每周积分!B4="","",每周积分!B4)</f>
        <v/>
      </c>
      <c r="K4" s="27">
        <f>IF(J4="","",IFERROR(INDEX(每周积分!C4:T4,1,每周积分!$X$1),0))</f>
        <v/>
      </c>
      <c r="L4" s="27">
        <f>IF(OR(J4="",每周积分!$X$1&lt;=1),"",IFERROR(INDEX(每周积分!C4:T4,1,每周积分!$X$1-1),0))</f>
        <v/>
      </c>
      <c r="M4" s="27">
        <f>IF(J4="","",IF(每周积分!$X$1&lt;=1,"",N(K4)-N(L4)))</f>
        <v/>
      </c>
    </row>
    <row r="5">
      <c r="A5" s="15" t="inlineStr">
        <is>
          <t>第3周</t>
        </is>
      </c>
      <c r="B5" s="15">
        <f>IF(每周积分!$X$1&lt;&gt;3,"",IFERROR(INDEX($J$3:$J$52,MATCH(MAX($M$3:$M$52),$M$3:$M$52,0)),""))</f>
        <v/>
      </c>
      <c r="C5" s="22" t="n"/>
      <c r="D5" s="22" t="n"/>
      <c r="E5" s="17">
        <f>IF(AND(B5="",C5="",D5=""),"",IFERROR(IF(AND(VLOOKUP(B5,学生档案!$C:$I,7,FALSE)&lt;&gt;"",OR(VLOOKUP(B5,学生档案!$C:$I,7,FALSE)=VLOOKUP(C5,学生档案!$C:$I,7,FALSE),VLOOKUP(B5,学生档案!$C:$I,7,FALSE)=VLOOKUP(D5,学生档案!$C:$I,7,FALSE))),VLOOKUP(B5,学生档案!$C:$I,7,FALSE),IF(AND(C5&lt;&gt;"",D5&lt;&gt;"",VLOOKUP(C5,学生档案!$C:$I,7,FALSE)=VLOOKUP(D5,学生档案!$C:$I,7,FALSE)),VLOOKUP(C5,学生档案!$C:$I,7,FALSE),IFERROR(IF(VLOOKUP(B5,学生档案!$C:$I,7,FALSE)&lt;&gt;"",VLOOKUP(B5,学生档案!$C:$I,7,FALSE),VLOOKUP(B5,学生档案!$C:$H,6,FALSE)),""))),""))</f>
        <v/>
      </c>
      <c r="F5" s="15" t="n"/>
      <c r="G5" s="22" t="n"/>
      <c r="H5" s="15" t="n"/>
      <c r="J5" s="27">
        <f>IF(每周积分!B5="","",每周积分!B5)</f>
        <v/>
      </c>
      <c r="K5" s="27">
        <f>IF(J5="","",IFERROR(INDEX(每周积分!C5:T5,1,每周积分!$X$1),0))</f>
        <v/>
      </c>
      <c r="L5" s="27">
        <f>IF(OR(J5="",每周积分!$X$1&lt;=1),"",IFERROR(INDEX(每周积分!C5:T5,1,每周积分!$X$1-1),0))</f>
        <v/>
      </c>
      <c r="M5" s="27">
        <f>IF(J5="","",IF(每周积分!$X$1&lt;=1,"",N(K5)-N(L5)))</f>
        <v/>
      </c>
    </row>
    <row r="6">
      <c r="A6" s="15" t="inlineStr">
        <is>
          <t>第4周</t>
        </is>
      </c>
      <c r="B6" s="15">
        <f>IF(每周积分!$X$1&lt;&gt;4,"",IFERROR(INDEX($J$3:$J$52,MATCH(MAX($M$3:$M$52),$M$3:$M$52,0)),""))</f>
        <v/>
      </c>
      <c r="C6" s="22" t="n"/>
      <c r="D6" s="22" t="n"/>
      <c r="E6" s="17">
        <f>IF(AND(B6="",C6="",D6=""),"",IFERROR(IF(AND(VLOOKUP(B6,学生档案!$C:$I,7,FALSE)&lt;&gt;"",OR(VLOOKUP(B6,学生档案!$C:$I,7,FALSE)=VLOOKUP(C6,学生档案!$C:$I,7,FALSE),VLOOKUP(B6,学生档案!$C:$I,7,FALSE)=VLOOKUP(D6,学生档案!$C:$I,7,FALSE))),VLOOKUP(B6,学生档案!$C:$I,7,FALSE),IF(AND(C6&lt;&gt;"",D6&lt;&gt;"",VLOOKUP(C6,学生档案!$C:$I,7,FALSE)=VLOOKUP(D6,学生档案!$C:$I,7,FALSE)),VLOOKUP(C6,学生档案!$C:$I,7,FALSE),IFERROR(IF(VLOOKUP(B6,学生档案!$C:$I,7,FALSE)&lt;&gt;"",VLOOKUP(B6,学生档案!$C:$I,7,FALSE),VLOOKUP(B6,学生档案!$C:$H,6,FALSE)),""))),""))</f>
        <v/>
      </c>
      <c r="F6" s="15" t="n"/>
      <c r="G6" s="22" t="n"/>
      <c r="H6" s="15" t="n"/>
      <c r="J6" s="27">
        <f>IF(每周积分!B6="","",每周积分!B6)</f>
        <v/>
      </c>
      <c r="K6" s="27">
        <f>IF(J6="","",IFERROR(INDEX(每周积分!C6:T6,1,每周积分!$X$1),0))</f>
        <v/>
      </c>
      <c r="L6" s="27">
        <f>IF(OR(J6="",每周积分!$X$1&lt;=1),"",IFERROR(INDEX(每周积分!C6:T6,1,每周积分!$X$1-1),0))</f>
        <v/>
      </c>
      <c r="M6" s="27">
        <f>IF(J6="","",IF(每周积分!$X$1&lt;=1,"",N(K6)-N(L6)))</f>
        <v/>
      </c>
    </row>
    <row r="7">
      <c r="A7" s="15" t="inlineStr">
        <is>
          <t>第5周</t>
        </is>
      </c>
      <c r="B7" s="15">
        <f>IF(每周积分!$X$1&lt;&gt;5,"",IFERROR(INDEX($J$3:$J$52,MATCH(MAX($M$3:$M$52),$M$3:$M$52,0)),""))</f>
        <v/>
      </c>
      <c r="C7" s="22" t="n"/>
      <c r="D7" s="22" t="n"/>
      <c r="E7" s="17">
        <f>IF(AND(B7="",C7="",D7=""),"",IFERROR(IF(AND(VLOOKUP(B7,学生档案!$C:$I,7,FALSE)&lt;&gt;"",OR(VLOOKUP(B7,学生档案!$C:$I,7,FALSE)=VLOOKUP(C7,学生档案!$C:$I,7,FALSE),VLOOKUP(B7,学生档案!$C:$I,7,FALSE)=VLOOKUP(D7,学生档案!$C:$I,7,FALSE))),VLOOKUP(B7,学生档案!$C:$I,7,FALSE),IF(AND(C7&lt;&gt;"",D7&lt;&gt;"",VLOOKUP(C7,学生档案!$C:$I,7,FALSE)=VLOOKUP(D7,学生档案!$C:$I,7,FALSE)),VLOOKUP(C7,学生档案!$C:$I,7,FALSE),IFERROR(IF(VLOOKUP(B7,学生档案!$C:$I,7,FALSE)&lt;&gt;"",VLOOKUP(B7,学生档案!$C:$I,7,FALSE),VLOOKUP(B7,学生档案!$C:$H,6,FALSE)),""))),""))</f>
        <v/>
      </c>
      <c r="F7" s="15" t="n"/>
      <c r="G7" s="22" t="n"/>
      <c r="H7" s="15" t="n"/>
      <c r="J7" s="27">
        <f>IF(每周积分!B7="","",每周积分!B7)</f>
        <v/>
      </c>
      <c r="K7" s="27">
        <f>IF(J7="","",IFERROR(INDEX(每周积分!C7:T7,1,每周积分!$X$1),0))</f>
        <v/>
      </c>
      <c r="L7" s="27">
        <f>IF(OR(J7="",每周积分!$X$1&lt;=1),"",IFERROR(INDEX(每周积分!C7:T7,1,每周积分!$X$1-1),0))</f>
        <v/>
      </c>
      <c r="M7" s="27">
        <f>IF(J7="","",IF(每周积分!$X$1&lt;=1,"",N(K7)-N(L7)))</f>
        <v/>
      </c>
    </row>
    <row r="8">
      <c r="A8" s="15" t="inlineStr">
        <is>
          <t>第6周</t>
        </is>
      </c>
      <c r="B8" s="15">
        <f>IF(每周积分!$X$1&lt;&gt;6,"",IFERROR(INDEX($J$3:$J$52,MATCH(MAX($M$3:$M$52),$M$3:$M$52,0)),""))</f>
        <v/>
      </c>
      <c r="C8" s="22" t="n"/>
      <c r="D8" s="22" t="n"/>
      <c r="E8" s="17">
        <f>IF(AND(B8="",C8="",D8=""),"",IFERROR(IF(AND(VLOOKUP(B8,学生档案!$C:$I,7,FALSE)&lt;&gt;"",OR(VLOOKUP(B8,学生档案!$C:$I,7,FALSE)=VLOOKUP(C8,学生档案!$C:$I,7,FALSE),VLOOKUP(B8,学生档案!$C:$I,7,FALSE)=VLOOKUP(D8,学生档案!$C:$I,7,FALSE))),VLOOKUP(B8,学生档案!$C:$I,7,FALSE),IF(AND(C8&lt;&gt;"",D8&lt;&gt;"",VLOOKUP(C8,学生档案!$C:$I,7,FALSE)=VLOOKUP(D8,学生档案!$C:$I,7,FALSE)),VLOOKUP(C8,学生档案!$C:$I,7,FALSE),IFERROR(IF(VLOOKUP(B8,学生档案!$C:$I,7,FALSE)&lt;&gt;"",VLOOKUP(B8,学生档案!$C:$I,7,FALSE),VLOOKUP(B8,学生档案!$C:$H,6,FALSE)),""))),""))</f>
        <v/>
      </c>
      <c r="F8" s="15" t="n"/>
      <c r="G8" s="22" t="n"/>
      <c r="H8" s="15" t="n"/>
      <c r="J8" s="27">
        <f>IF(每周积分!B8="","",每周积分!B8)</f>
        <v/>
      </c>
      <c r="K8" s="27">
        <f>IF(J8="","",IFERROR(INDEX(每周积分!C8:T8,1,每周积分!$X$1),0))</f>
        <v/>
      </c>
      <c r="L8" s="27">
        <f>IF(OR(J8="",每周积分!$X$1&lt;=1),"",IFERROR(INDEX(每周积分!C8:T8,1,每周积分!$X$1-1),0))</f>
        <v/>
      </c>
      <c r="M8" s="27">
        <f>IF(J8="","",IF(每周积分!$X$1&lt;=1,"",N(K8)-N(L8)))</f>
        <v/>
      </c>
    </row>
    <row r="9">
      <c r="A9" s="15" t="inlineStr">
        <is>
          <t>第7周</t>
        </is>
      </c>
      <c r="B9" s="15">
        <f>IF(每周积分!$X$1&lt;&gt;7,"",IFERROR(INDEX($J$3:$J$52,MATCH(MAX($M$3:$M$52),$M$3:$M$52,0)),""))</f>
        <v/>
      </c>
      <c r="C9" s="22" t="n"/>
      <c r="D9" s="22" t="n"/>
      <c r="E9" s="17">
        <f>IF(AND(B9="",C9="",D9=""),"",IFERROR(IF(AND(VLOOKUP(B9,学生档案!$C:$I,7,FALSE)&lt;&gt;"",OR(VLOOKUP(B9,学生档案!$C:$I,7,FALSE)=VLOOKUP(C9,学生档案!$C:$I,7,FALSE),VLOOKUP(B9,学生档案!$C:$I,7,FALSE)=VLOOKUP(D9,学生档案!$C:$I,7,FALSE))),VLOOKUP(B9,学生档案!$C:$I,7,FALSE),IF(AND(C9&lt;&gt;"",D9&lt;&gt;"",VLOOKUP(C9,学生档案!$C:$I,7,FALSE)=VLOOKUP(D9,学生档案!$C:$I,7,FALSE)),VLOOKUP(C9,学生档案!$C:$I,7,FALSE),IFERROR(IF(VLOOKUP(B9,学生档案!$C:$I,7,FALSE)&lt;&gt;"",VLOOKUP(B9,学生档案!$C:$I,7,FALSE),VLOOKUP(B9,学生档案!$C:$H,6,FALSE)),""))),""))</f>
        <v/>
      </c>
      <c r="F9" s="15" t="n"/>
      <c r="G9" s="22" t="n"/>
      <c r="H9" s="15" t="n"/>
      <c r="J9" s="27">
        <f>IF(每周积分!B9="","",每周积分!B9)</f>
        <v/>
      </c>
      <c r="K9" s="27">
        <f>IF(J9="","",IFERROR(INDEX(每周积分!C9:T9,1,每周积分!$X$1),0))</f>
        <v/>
      </c>
      <c r="L9" s="27">
        <f>IF(OR(J9="",每周积分!$X$1&lt;=1),"",IFERROR(INDEX(每周积分!C9:T9,1,每周积分!$X$1-1),0))</f>
        <v/>
      </c>
      <c r="M9" s="27">
        <f>IF(J9="","",IF(每周积分!$X$1&lt;=1,"",N(K9)-N(L9)))</f>
        <v/>
      </c>
    </row>
    <row r="10">
      <c r="A10" s="15" t="inlineStr">
        <is>
          <t>第8周</t>
        </is>
      </c>
      <c r="B10" s="15">
        <f>IF(每周积分!$X$1&lt;&gt;8,"",IFERROR(INDEX($J$3:$J$52,MATCH(MAX($M$3:$M$52),$M$3:$M$52,0)),""))</f>
        <v/>
      </c>
      <c r="C10" s="22" t="n"/>
      <c r="D10" s="22" t="n"/>
      <c r="E10" s="17">
        <f>IF(AND(B10="",C10="",D10=""),"",IFERROR(IF(AND(VLOOKUP(B10,学生档案!$C:$I,7,FALSE)&lt;&gt;"",OR(VLOOKUP(B10,学生档案!$C:$I,7,FALSE)=VLOOKUP(C10,学生档案!$C:$I,7,FALSE),VLOOKUP(B10,学生档案!$C:$I,7,FALSE)=VLOOKUP(D10,学生档案!$C:$I,7,FALSE))),VLOOKUP(B10,学生档案!$C:$I,7,FALSE),IF(AND(C10&lt;&gt;"",D10&lt;&gt;"",VLOOKUP(C10,学生档案!$C:$I,7,FALSE)=VLOOKUP(D10,学生档案!$C:$I,7,FALSE)),VLOOKUP(C10,学生档案!$C:$I,7,FALSE),IFERROR(IF(VLOOKUP(B10,学生档案!$C:$I,7,FALSE)&lt;&gt;"",VLOOKUP(B10,学生档案!$C:$I,7,FALSE),VLOOKUP(B10,学生档案!$C:$H,6,FALSE)),""))),""))</f>
        <v/>
      </c>
      <c r="F10" s="15" t="n"/>
      <c r="G10" s="22" t="n"/>
      <c r="H10" s="15" t="n"/>
      <c r="J10" s="27">
        <f>IF(每周积分!B10="","",每周积分!B10)</f>
        <v/>
      </c>
      <c r="K10" s="27">
        <f>IF(J10="","",IFERROR(INDEX(每周积分!C10:T10,1,每周积分!$X$1),0))</f>
        <v/>
      </c>
      <c r="L10" s="27">
        <f>IF(OR(J10="",每周积分!$X$1&lt;=1),"",IFERROR(INDEX(每周积分!C10:T10,1,每周积分!$X$1-1),0))</f>
        <v/>
      </c>
      <c r="M10" s="27">
        <f>IF(J10="","",IF(每周积分!$X$1&lt;=1,"",N(K10)-N(L10)))</f>
        <v/>
      </c>
    </row>
    <row r="11">
      <c r="A11" s="15" t="inlineStr">
        <is>
          <t>第9周</t>
        </is>
      </c>
      <c r="B11" s="15">
        <f>IF(每周积分!$X$1&lt;&gt;9,"",IFERROR(INDEX($J$3:$J$52,MATCH(MAX($M$3:$M$52),$M$3:$M$52,0)),""))</f>
        <v/>
      </c>
      <c r="C11" s="22" t="n"/>
      <c r="D11" s="22" t="n"/>
      <c r="E11" s="17">
        <f>IF(AND(B11="",C11="",D11=""),"",IFERROR(IF(AND(VLOOKUP(B11,学生档案!$C:$I,7,FALSE)&lt;&gt;"",OR(VLOOKUP(B11,学生档案!$C:$I,7,FALSE)=VLOOKUP(C11,学生档案!$C:$I,7,FALSE),VLOOKUP(B11,学生档案!$C:$I,7,FALSE)=VLOOKUP(D11,学生档案!$C:$I,7,FALSE))),VLOOKUP(B11,学生档案!$C:$I,7,FALSE),IF(AND(C11&lt;&gt;"",D11&lt;&gt;"",VLOOKUP(C11,学生档案!$C:$I,7,FALSE)=VLOOKUP(D11,学生档案!$C:$I,7,FALSE)),VLOOKUP(C11,学生档案!$C:$I,7,FALSE),IFERROR(IF(VLOOKUP(B11,学生档案!$C:$I,7,FALSE)&lt;&gt;"",VLOOKUP(B11,学生档案!$C:$I,7,FALSE),VLOOKUP(B11,学生档案!$C:$H,6,FALSE)),""))),""))</f>
        <v/>
      </c>
      <c r="F11" s="15" t="n"/>
      <c r="G11" s="22" t="n"/>
      <c r="H11" s="15" t="n"/>
      <c r="J11" s="27">
        <f>IF(每周积分!B11="","",每周积分!B11)</f>
        <v/>
      </c>
      <c r="K11" s="27">
        <f>IF(J11="","",IFERROR(INDEX(每周积分!C11:T11,1,每周积分!$X$1),0))</f>
        <v/>
      </c>
      <c r="L11" s="27">
        <f>IF(OR(J11="",每周积分!$X$1&lt;=1),"",IFERROR(INDEX(每周积分!C11:T11,1,每周积分!$X$1-1),0))</f>
        <v/>
      </c>
      <c r="M11" s="27">
        <f>IF(J11="","",IF(每周积分!$X$1&lt;=1,"",N(K11)-N(L11)))</f>
        <v/>
      </c>
    </row>
    <row r="12">
      <c r="A12" s="15" t="inlineStr">
        <is>
          <t>第10周</t>
        </is>
      </c>
      <c r="B12" s="15">
        <f>IF(每周积分!$X$1&lt;&gt;10,"",IFERROR(INDEX($J$3:$J$52,MATCH(MAX($M$3:$M$52),$M$3:$M$52,0)),""))</f>
        <v/>
      </c>
      <c r="C12" s="22" t="n"/>
      <c r="D12" s="22" t="n"/>
      <c r="E12" s="17">
        <f>IF(AND(B12="",C12="",D12=""),"",IFERROR(IF(AND(VLOOKUP(B12,学生档案!$C:$I,7,FALSE)&lt;&gt;"",OR(VLOOKUP(B12,学生档案!$C:$I,7,FALSE)=VLOOKUP(C12,学生档案!$C:$I,7,FALSE),VLOOKUP(B12,学生档案!$C:$I,7,FALSE)=VLOOKUP(D12,学生档案!$C:$I,7,FALSE))),VLOOKUP(B12,学生档案!$C:$I,7,FALSE),IF(AND(C12&lt;&gt;"",D12&lt;&gt;"",VLOOKUP(C12,学生档案!$C:$I,7,FALSE)=VLOOKUP(D12,学生档案!$C:$I,7,FALSE)),VLOOKUP(C12,学生档案!$C:$I,7,FALSE),IFERROR(IF(VLOOKUP(B12,学生档案!$C:$I,7,FALSE)&lt;&gt;"",VLOOKUP(B12,学生档案!$C:$I,7,FALSE),VLOOKUP(B12,学生档案!$C:$H,6,FALSE)),""))),""))</f>
        <v/>
      </c>
      <c r="F12" s="15" t="n"/>
      <c r="G12" s="22" t="n"/>
      <c r="H12" s="15" t="n"/>
      <c r="J12" s="27">
        <f>IF(每周积分!B12="","",每周积分!B12)</f>
        <v/>
      </c>
      <c r="K12" s="27">
        <f>IF(J12="","",IFERROR(INDEX(每周积分!C12:T12,1,每周积分!$X$1),0))</f>
        <v/>
      </c>
      <c r="L12" s="27">
        <f>IF(OR(J12="",每周积分!$X$1&lt;=1),"",IFERROR(INDEX(每周积分!C12:T12,1,每周积分!$X$1-1),0))</f>
        <v/>
      </c>
      <c r="M12" s="27">
        <f>IF(J12="","",IF(每周积分!$X$1&lt;=1,"",N(K12)-N(L12)))</f>
        <v/>
      </c>
    </row>
    <row r="13">
      <c r="A13" s="15" t="inlineStr">
        <is>
          <t>第11周</t>
        </is>
      </c>
      <c r="B13" s="15">
        <f>IF(每周积分!$X$1&lt;&gt;11,"",IFERROR(INDEX($J$3:$J$52,MATCH(MAX($M$3:$M$52),$M$3:$M$52,0)),""))</f>
        <v/>
      </c>
      <c r="C13" s="22" t="n"/>
      <c r="D13" s="22" t="n"/>
      <c r="E13" s="17">
        <f>IF(AND(B13="",C13="",D13=""),"",IFERROR(IF(AND(VLOOKUP(B13,学生档案!$C:$I,7,FALSE)&lt;&gt;"",OR(VLOOKUP(B13,学生档案!$C:$I,7,FALSE)=VLOOKUP(C13,学生档案!$C:$I,7,FALSE),VLOOKUP(B13,学生档案!$C:$I,7,FALSE)=VLOOKUP(D13,学生档案!$C:$I,7,FALSE))),VLOOKUP(B13,学生档案!$C:$I,7,FALSE),IF(AND(C13&lt;&gt;"",D13&lt;&gt;"",VLOOKUP(C13,学生档案!$C:$I,7,FALSE)=VLOOKUP(D13,学生档案!$C:$I,7,FALSE)),VLOOKUP(C13,学生档案!$C:$I,7,FALSE),IFERROR(IF(VLOOKUP(B13,学生档案!$C:$I,7,FALSE)&lt;&gt;"",VLOOKUP(B13,学生档案!$C:$I,7,FALSE),VLOOKUP(B13,学生档案!$C:$H,6,FALSE)),""))),""))</f>
        <v/>
      </c>
      <c r="F13" s="15" t="n"/>
      <c r="G13" s="22" t="n"/>
      <c r="H13" s="15" t="n"/>
      <c r="J13" s="27">
        <f>IF(每周积分!B13="","",每周积分!B13)</f>
        <v/>
      </c>
      <c r="K13" s="27">
        <f>IF(J13="","",IFERROR(INDEX(每周积分!C13:T13,1,每周积分!$X$1),0))</f>
        <v/>
      </c>
      <c r="L13" s="27">
        <f>IF(OR(J13="",每周积分!$X$1&lt;=1),"",IFERROR(INDEX(每周积分!C13:T13,1,每周积分!$X$1-1),0))</f>
        <v/>
      </c>
      <c r="M13" s="27">
        <f>IF(J13="","",IF(每周积分!$X$1&lt;=1,"",N(K13)-N(L13)))</f>
        <v/>
      </c>
    </row>
    <row r="14">
      <c r="A14" s="15" t="inlineStr">
        <is>
          <t>第12周</t>
        </is>
      </c>
      <c r="B14" s="15">
        <f>IF(每周积分!$X$1&lt;&gt;12,"",IFERROR(INDEX($J$3:$J$52,MATCH(MAX($M$3:$M$52),$M$3:$M$52,0)),""))</f>
        <v/>
      </c>
      <c r="C14" s="22" t="n"/>
      <c r="D14" s="22" t="n"/>
      <c r="E14" s="17">
        <f>IF(AND(B14="",C14="",D14=""),"",IFERROR(IF(AND(VLOOKUP(B14,学生档案!$C:$I,7,FALSE)&lt;&gt;"",OR(VLOOKUP(B14,学生档案!$C:$I,7,FALSE)=VLOOKUP(C14,学生档案!$C:$I,7,FALSE),VLOOKUP(B14,学生档案!$C:$I,7,FALSE)=VLOOKUP(D14,学生档案!$C:$I,7,FALSE))),VLOOKUP(B14,学生档案!$C:$I,7,FALSE),IF(AND(C14&lt;&gt;"",D14&lt;&gt;"",VLOOKUP(C14,学生档案!$C:$I,7,FALSE)=VLOOKUP(D14,学生档案!$C:$I,7,FALSE)),VLOOKUP(C14,学生档案!$C:$I,7,FALSE),IFERROR(IF(VLOOKUP(B14,学生档案!$C:$I,7,FALSE)&lt;&gt;"",VLOOKUP(B14,学生档案!$C:$I,7,FALSE),VLOOKUP(B14,学生档案!$C:$H,6,FALSE)),""))),""))</f>
        <v/>
      </c>
      <c r="F14" s="15" t="n"/>
      <c r="G14" s="22" t="n"/>
      <c r="H14" s="15" t="n"/>
      <c r="J14" s="27">
        <f>IF(每周积分!B14="","",每周积分!B14)</f>
        <v/>
      </c>
      <c r="K14" s="27">
        <f>IF(J14="","",IFERROR(INDEX(每周积分!C14:T14,1,每周积分!$X$1),0))</f>
        <v/>
      </c>
      <c r="L14" s="27">
        <f>IF(OR(J14="",每周积分!$X$1&lt;=1),"",IFERROR(INDEX(每周积分!C14:T14,1,每周积分!$X$1-1),0))</f>
        <v/>
      </c>
      <c r="M14" s="27">
        <f>IF(J14="","",IF(每周积分!$X$1&lt;=1,"",N(K14)-N(L14)))</f>
        <v/>
      </c>
    </row>
    <row r="15">
      <c r="A15" s="15" t="inlineStr">
        <is>
          <t>第13周</t>
        </is>
      </c>
      <c r="B15" s="15">
        <f>IF(每周积分!$X$1&lt;&gt;13,"",IFERROR(INDEX($J$3:$J$52,MATCH(MAX($M$3:$M$52),$M$3:$M$52,0)),""))</f>
        <v/>
      </c>
      <c r="C15" s="22" t="n"/>
      <c r="D15" s="22" t="n"/>
      <c r="E15" s="17">
        <f>IF(AND(B15="",C15="",D15=""),"",IFERROR(IF(AND(VLOOKUP(B15,学生档案!$C:$I,7,FALSE)&lt;&gt;"",OR(VLOOKUP(B15,学生档案!$C:$I,7,FALSE)=VLOOKUP(C15,学生档案!$C:$I,7,FALSE),VLOOKUP(B15,学生档案!$C:$I,7,FALSE)=VLOOKUP(D15,学生档案!$C:$I,7,FALSE))),VLOOKUP(B15,学生档案!$C:$I,7,FALSE),IF(AND(C15&lt;&gt;"",D15&lt;&gt;"",VLOOKUP(C15,学生档案!$C:$I,7,FALSE)=VLOOKUP(D15,学生档案!$C:$I,7,FALSE)),VLOOKUP(C15,学生档案!$C:$I,7,FALSE),IFERROR(IF(VLOOKUP(B15,学生档案!$C:$I,7,FALSE)&lt;&gt;"",VLOOKUP(B15,学生档案!$C:$I,7,FALSE),VLOOKUP(B15,学生档案!$C:$H,6,FALSE)),""))),""))</f>
        <v/>
      </c>
      <c r="F15" s="15" t="n"/>
      <c r="G15" s="22" t="n"/>
      <c r="H15" s="15" t="n"/>
      <c r="J15" s="27">
        <f>IF(每周积分!B15="","",每周积分!B15)</f>
        <v/>
      </c>
      <c r="K15" s="27">
        <f>IF(J15="","",IFERROR(INDEX(每周积分!C15:T15,1,每周积分!$X$1),0))</f>
        <v/>
      </c>
      <c r="L15" s="27">
        <f>IF(OR(J15="",每周积分!$X$1&lt;=1),"",IFERROR(INDEX(每周积分!C15:T15,1,每周积分!$X$1-1),0))</f>
        <v/>
      </c>
      <c r="M15" s="27">
        <f>IF(J15="","",IF(每周积分!$X$1&lt;=1,"",N(K15)-N(L15)))</f>
        <v/>
      </c>
    </row>
    <row r="16">
      <c r="A16" s="15" t="inlineStr">
        <is>
          <t>第14周</t>
        </is>
      </c>
      <c r="B16" s="15">
        <f>IF(每周积分!$X$1&lt;&gt;14,"",IFERROR(INDEX($J$3:$J$52,MATCH(MAX($M$3:$M$52),$M$3:$M$52,0)),""))</f>
        <v/>
      </c>
      <c r="C16" s="22" t="n"/>
      <c r="D16" s="22" t="n"/>
      <c r="E16" s="17">
        <f>IF(AND(B16="",C16="",D16=""),"",IFERROR(IF(AND(VLOOKUP(B16,学生档案!$C:$I,7,FALSE)&lt;&gt;"",OR(VLOOKUP(B16,学生档案!$C:$I,7,FALSE)=VLOOKUP(C16,学生档案!$C:$I,7,FALSE),VLOOKUP(B16,学生档案!$C:$I,7,FALSE)=VLOOKUP(D16,学生档案!$C:$I,7,FALSE))),VLOOKUP(B16,学生档案!$C:$I,7,FALSE),IF(AND(C16&lt;&gt;"",D16&lt;&gt;"",VLOOKUP(C16,学生档案!$C:$I,7,FALSE)=VLOOKUP(D16,学生档案!$C:$I,7,FALSE)),VLOOKUP(C16,学生档案!$C:$I,7,FALSE),IFERROR(IF(VLOOKUP(B16,学生档案!$C:$I,7,FALSE)&lt;&gt;"",VLOOKUP(B16,学生档案!$C:$I,7,FALSE),VLOOKUP(B16,学生档案!$C:$H,6,FALSE)),""))),""))</f>
        <v/>
      </c>
      <c r="F16" s="15" t="n"/>
      <c r="G16" s="22" t="n"/>
      <c r="H16" s="15" t="n"/>
      <c r="J16" s="27">
        <f>IF(每周积分!B16="","",每周积分!B16)</f>
        <v/>
      </c>
      <c r="K16" s="27">
        <f>IF(J16="","",IFERROR(INDEX(每周积分!C16:T16,1,每周积分!$X$1),0))</f>
        <v/>
      </c>
      <c r="L16" s="27">
        <f>IF(OR(J16="",每周积分!$X$1&lt;=1),"",IFERROR(INDEX(每周积分!C16:T16,1,每周积分!$X$1-1),0))</f>
        <v/>
      </c>
      <c r="M16" s="27">
        <f>IF(J16="","",IF(每周积分!$X$1&lt;=1,"",N(K16)-N(L16)))</f>
        <v/>
      </c>
    </row>
    <row r="17">
      <c r="A17" s="15" t="inlineStr">
        <is>
          <t>第15周</t>
        </is>
      </c>
      <c r="B17" s="15">
        <f>IF(每周积分!$X$1&lt;&gt;15,"",IFERROR(INDEX($J$3:$J$52,MATCH(MAX($M$3:$M$52),$M$3:$M$52,0)),""))</f>
        <v/>
      </c>
      <c r="C17" s="22" t="n"/>
      <c r="D17" s="22" t="n"/>
      <c r="E17" s="17">
        <f>IF(AND(B17="",C17="",D17=""),"",IFERROR(IF(AND(VLOOKUP(B17,学生档案!$C:$I,7,FALSE)&lt;&gt;"",OR(VLOOKUP(B17,学生档案!$C:$I,7,FALSE)=VLOOKUP(C17,学生档案!$C:$I,7,FALSE),VLOOKUP(B17,学生档案!$C:$I,7,FALSE)=VLOOKUP(D17,学生档案!$C:$I,7,FALSE))),VLOOKUP(B17,学生档案!$C:$I,7,FALSE),IF(AND(C17&lt;&gt;"",D17&lt;&gt;"",VLOOKUP(C17,学生档案!$C:$I,7,FALSE)=VLOOKUP(D17,学生档案!$C:$I,7,FALSE)),VLOOKUP(C17,学生档案!$C:$I,7,FALSE),IFERROR(IF(VLOOKUP(B17,学生档案!$C:$I,7,FALSE)&lt;&gt;"",VLOOKUP(B17,学生档案!$C:$I,7,FALSE),VLOOKUP(B17,学生档案!$C:$H,6,FALSE)),""))),""))</f>
        <v/>
      </c>
      <c r="F17" s="15" t="n"/>
      <c r="G17" s="22" t="n"/>
      <c r="H17" s="15" t="n"/>
      <c r="J17" s="27">
        <f>IF(每周积分!B17="","",每周积分!B17)</f>
        <v/>
      </c>
      <c r="K17" s="27">
        <f>IF(J17="","",IFERROR(INDEX(每周积分!C17:T17,1,每周积分!$X$1),0))</f>
        <v/>
      </c>
      <c r="L17" s="27">
        <f>IF(OR(J17="",每周积分!$X$1&lt;=1),"",IFERROR(INDEX(每周积分!C17:T17,1,每周积分!$X$1-1),0))</f>
        <v/>
      </c>
      <c r="M17" s="27">
        <f>IF(J17="","",IF(每周积分!$X$1&lt;=1,"",N(K17)-N(L17)))</f>
        <v/>
      </c>
    </row>
    <row r="18">
      <c r="A18" s="15" t="inlineStr">
        <is>
          <t>第16周</t>
        </is>
      </c>
      <c r="B18" s="15">
        <f>IF(每周积分!$X$1&lt;&gt;16,"",IFERROR(INDEX($J$3:$J$52,MATCH(MAX($M$3:$M$52),$M$3:$M$52,0)),""))</f>
        <v/>
      </c>
      <c r="C18" s="22" t="n"/>
      <c r="D18" s="22" t="n"/>
      <c r="E18" s="17">
        <f>IF(AND(B18="",C18="",D18=""),"",IFERROR(IF(AND(VLOOKUP(B18,学生档案!$C:$I,7,FALSE)&lt;&gt;"",OR(VLOOKUP(B18,学生档案!$C:$I,7,FALSE)=VLOOKUP(C18,学生档案!$C:$I,7,FALSE),VLOOKUP(B18,学生档案!$C:$I,7,FALSE)=VLOOKUP(D18,学生档案!$C:$I,7,FALSE))),VLOOKUP(B18,学生档案!$C:$I,7,FALSE),IF(AND(C18&lt;&gt;"",D18&lt;&gt;"",VLOOKUP(C18,学生档案!$C:$I,7,FALSE)=VLOOKUP(D18,学生档案!$C:$I,7,FALSE)),VLOOKUP(C18,学生档案!$C:$I,7,FALSE),IFERROR(IF(VLOOKUP(B18,学生档案!$C:$I,7,FALSE)&lt;&gt;"",VLOOKUP(B18,学生档案!$C:$I,7,FALSE),VLOOKUP(B18,学生档案!$C:$H,6,FALSE)),""))),""))</f>
        <v/>
      </c>
      <c r="F18" s="15" t="n"/>
      <c r="G18" s="22" t="n"/>
      <c r="H18" s="15" t="n"/>
      <c r="J18" s="27">
        <f>IF(每周积分!B18="","",每周积分!B18)</f>
        <v/>
      </c>
      <c r="K18" s="27">
        <f>IF(J18="","",IFERROR(INDEX(每周积分!C18:T18,1,每周积分!$X$1),0))</f>
        <v/>
      </c>
      <c r="L18" s="27">
        <f>IF(OR(J18="",每周积分!$X$1&lt;=1),"",IFERROR(INDEX(每周积分!C18:T18,1,每周积分!$X$1-1),0))</f>
        <v/>
      </c>
      <c r="M18" s="27">
        <f>IF(J18="","",IF(每周积分!$X$1&lt;=1,"",N(K18)-N(L18)))</f>
        <v/>
      </c>
    </row>
    <row r="19">
      <c r="A19" s="15" t="inlineStr">
        <is>
          <t>第17周</t>
        </is>
      </c>
      <c r="B19" s="15">
        <f>IF(每周积分!$X$1&lt;&gt;17,"",IFERROR(INDEX($J$3:$J$52,MATCH(MAX($M$3:$M$52),$M$3:$M$52,0)),""))</f>
        <v/>
      </c>
      <c r="C19" s="22" t="n"/>
      <c r="D19" s="22" t="n"/>
      <c r="E19" s="17">
        <f>IF(AND(B19="",C19="",D19=""),"",IFERROR(IF(AND(VLOOKUP(B19,学生档案!$C:$I,7,FALSE)&lt;&gt;"",OR(VLOOKUP(B19,学生档案!$C:$I,7,FALSE)=VLOOKUP(C19,学生档案!$C:$I,7,FALSE),VLOOKUP(B19,学生档案!$C:$I,7,FALSE)=VLOOKUP(D19,学生档案!$C:$I,7,FALSE))),VLOOKUP(B19,学生档案!$C:$I,7,FALSE),IF(AND(C19&lt;&gt;"",D19&lt;&gt;"",VLOOKUP(C19,学生档案!$C:$I,7,FALSE)=VLOOKUP(D19,学生档案!$C:$I,7,FALSE)),VLOOKUP(C19,学生档案!$C:$I,7,FALSE),IFERROR(IF(VLOOKUP(B19,学生档案!$C:$I,7,FALSE)&lt;&gt;"",VLOOKUP(B19,学生档案!$C:$I,7,FALSE),VLOOKUP(B19,学生档案!$C:$H,6,FALSE)),""))),""))</f>
        <v/>
      </c>
      <c r="F19" s="15" t="n"/>
      <c r="G19" s="22" t="n"/>
      <c r="H19" s="15" t="n"/>
      <c r="J19" s="27">
        <f>IF(每周积分!B19="","",每周积分!B19)</f>
        <v/>
      </c>
      <c r="K19" s="27">
        <f>IF(J19="","",IFERROR(INDEX(每周积分!C19:T19,1,每周积分!$X$1),0))</f>
        <v/>
      </c>
      <c r="L19" s="27">
        <f>IF(OR(J19="",每周积分!$X$1&lt;=1),"",IFERROR(INDEX(每周积分!C19:T19,1,每周积分!$X$1-1),0))</f>
        <v/>
      </c>
      <c r="M19" s="27">
        <f>IF(J19="","",IF(每周积分!$X$1&lt;=1,"",N(K19)-N(L19)))</f>
        <v/>
      </c>
    </row>
    <row r="20">
      <c r="A20" s="15" t="inlineStr">
        <is>
          <t>第18周</t>
        </is>
      </c>
      <c r="B20" s="15">
        <f>IF(每周积分!$X$1&lt;&gt;18,"",IFERROR(INDEX($J$3:$J$52,MATCH(MAX($M$3:$M$52),$M$3:$M$52,0)),""))</f>
        <v/>
      </c>
      <c r="C20" s="22" t="n"/>
      <c r="D20" s="22" t="n"/>
      <c r="E20" s="17">
        <f>IF(AND(B20="",C20="",D20=""),"",IFERROR(IF(AND(VLOOKUP(B20,学生档案!$C:$I,7,FALSE)&lt;&gt;"",OR(VLOOKUP(B20,学生档案!$C:$I,7,FALSE)=VLOOKUP(C20,学生档案!$C:$I,7,FALSE),VLOOKUP(B20,学生档案!$C:$I,7,FALSE)=VLOOKUP(D20,学生档案!$C:$I,7,FALSE))),VLOOKUP(B20,学生档案!$C:$I,7,FALSE),IF(AND(C20&lt;&gt;"",D20&lt;&gt;"",VLOOKUP(C20,学生档案!$C:$I,7,FALSE)=VLOOKUP(D20,学生档案!$C:$I,7,FALSE)),VLOOKUP(C20,学生档案!$C:$I,7,FALSE),IFERROR(IF(VLOOKUP(B20,学生档案!$C:$I,7,FALSE)&lt;&gt;"",VLOOKUP(B20,学生档案!$C:$I,7,FALSE),VLOOKUP(B20,学生档案!$C:$H,6,FALSE)),""))),""))</f>
        <v/>
      </c>
      <c r="F20" s="15" t="n"/>
      <c r="G20" s="22" t="n"/>
      <c r="H20" s="15" t="n"/>
      <c r="J20" s="27">
        <f>IF(每周积分!B20="","",每周积分!B20)</f>
        <v/>
      </c>
      <c r="K20" s="27">
        <f>IF(J20="","",IFERROR(INDEX(每周积分!C20:T20,1,每周积分!$X$1),0))</f>
        <v/>
      </c>
      <c r="L20" s="27">
        <f>IF(OR(J20="",每周积分!$X$1&lt;=1),"",IFERROR(INDEX(每周积分!C20:T20,1,每周积分!$X$1-1),0))</f>
        <v/>
      </c>
      <c r="M20" s="27">
        <f>IF(J20="","",IF(每周积分!$X$1&lt;=1,"",N(K20)-N(L20)))</f>
        <v/>
      </c>
    </row>
    <row r="21">
      <c r="J21" s="27">
        <f>IF(每周积分!B21="","",每周积分!B21)</f>
        <v/>
      </c>
      <c r="K21" s="27">
        <f>IF(J21="","",IFERROR(INDEX(每周积分!C21:T21,1,每周积分!$X$1),0))</f>
        <v/>
      </c>
      <c r="L21" s="27">
        <f>IF(OR(J21="",每周积分!$X$1&lt;=1),"",IFERROR(INDEX(每周积分!C21:T21,1,每周积分!$X$1-1),0))</f>
        <v/>
      </c>
      <c r="M21" s="27">
        <f>IF(J21="","",IF(每周积分!$X$1&lt;=1,"",N(K21)-N(L21)))</f>
        <v/>
      </c>
    </row>
    <row r="22">
      <c r="A22" s="18" t="inlineStr">
        <is>
          <t>右边 J-M 是算进步用的辅助列，打印前可隐藏。MAX 若有并列，取表里先出现的那一个，另一人可手写进备注。</t>
        </is>
      </c>
      <c r="J22" s="27">
        <f>IF(每周积分!B22="","",每周积分!B22)</f>
        <v/>
      </c>
      <c r="K22" s="27">
        <f>IF(J22="","",IFERROR(INDEX(每周积分!C22:T22,1,每周积分!$X$1),0))</f>
        <v/>
      </c>
      <c r="L22" s="27">
        <f>IF(OR(J22="",每周积分!$X$1&lt;=1),"",IFERROR(INDEX(每周积分!C22:T22,1,每周积分!$X$1-1),0))</f>
        <v/>
      </c>
      <c r="M22" s="27">
        <f>IF(J22="","",IF(每周积分!$X$1&lt;=1,"",N(K22)-N(L22)))</f>
        <v/>
      </c>
    </row>
    <row r="23">
      <c r="J23" s="27">
        <f>IF(每周积分!B23="","",每周积分!B23)</f>
        <v/>
      </c>
      <c r="K23" s="27">
        <f>IF(J23="","",IFERROR(INDEX(每周积分!C23:T23,1,每周积分!$X$1),0))</f>
        <v/>
      </c>
      <c r="L23" s="27">
        <f>IF(OR(J23="",每周积分!$X$1&lt;=1),"",IFERROR(INDEX(每周积分!C23:T23,1,每周积分!$X$1-1),0))</f>
        <v/>
      </c>
      <c r="M23" s="27">
        <f>IF(J23="","",IF(每周积分!$X$1&lt;=1,"",N(K23)-N(L23)))</f>
        <v/>
      </c>
    </row>
    <row r="24">
      <c r="J24" s="27">
        <f>IF(每周积分!B24="","",每周积分!B24)</f>
        <v/>
      </c>
      <c r="K24" s="27">
        <f>IF(J24="","",IFERROR(INDEX(每周积分!C24:T24,1,每周积分!$X$1),0))</f>
        <v/>
      </c>
      <c r="L24" s="27">
        <f>IF(OR(J24="",每周积分!$X$1&lt;=1),"",IFERROR(INDEX(每周积分!C24:T24,1,每周积分!$X$1-1),0))</f>
        <v/>
      </c>
      <c r="M24" s="27">
        <f>IF(J24="","",IF(每周积分!$X$1&lt;=1,"",N(K24)-N(L24)))</f>
        <v/>
      </c>
    </row>
    <row r="25">
      <c r="J25" s="27">
        <f>IF(每周积分!B25="","",每周积分!B25)</f>
        <v/>
      </c>
      <c r="K25" s="27">
        <f>IF(J25="","",IFERROR(INDEX(每周积分!C25:T25,1,每周积分!$X$1),0))</f>
        <v/>
      </c>
      <c r="L25" s="27">
        <f>IF(OR(J25="",每周积分!$X$1&lt;=1),"",IFERROR(INDEX(每周积分!C25:T25,1,每周积分!$X$1-1),0))</f>
        <v/>
      </c>
      <c r="M25" s="27">
        <f>IF(J25="","",IF(每周积分!$X$1&lt;=1,"",N(K25)-N(L25)))</f>
        <v/>
      </c>
    </row>
    <row r="26">
      <c r="J26" s="27">
        <f>IF(每周积分!B26="","",每周积分!B26)</f>
        <v/>
      </c>
      <c r="K26" s="27">
        <f>IF(J26="","",IFERROR(INDEX(每周积分!C26:T26,1,每周积分!$X$1),0))</f>
        <v/>
      </c>
      <c r="L26" s="27">
        <f>IF(OR(J26="",每周积分!$X$1&lt;=1),"",IFERROR(INDEX(每周积分!C26:T26,1,每周积分!$X$1-1),0))</f>
        <v/>
      </c>
      <c r="M26" s="27">
        <f>IF(J26="","",IF(每周积分!$X$1&lt;=1,"",N(K26)-N(L26)))</f>
        <v/>
      </c>
    </row>
    <row r="27">
      <c r="J27" s="27">
        <f>IF(每周积分!B27="","",每周积分!B27)</f>
        <v/>
      </c>
      <c r="K27" s="27">
        <f>IF(J27="","",IFERROR(INDEX(每周积分!C27:T27,1,每周积分!$X$1),0))</f>
        <v/>
      </c>
      <c r="L27" s="27">
        <f>IF(OR(J27="",每周积分!$X$1&lt;=1),"",IFERROR(INDEX(每周积分!C27:T27,1,每周积分!$X$1-1),0))</f>
        <v/>
      </c>
      <c r="M27" s="27">
        <f>IF(J27="","",IF(每周积分!$X$1&lt;=1,"",N(K27)-N(L27)))</f>
        <v/>
      </c>
    </row>
    <row r="28">
      <c r="J28" s="27">
        <f>IF(每周积分!B28="","",每周积分!B28)</f>
        <v/>
      </c>
      <c r="K28" s="27">
        <f>IF(J28="","",IFERROR(INDEX(每周积分!C28:T28,1,每周积分!$X$1),0))</f>
        <v/>
      </c>
      <c r="L28" s="27">
        <f>IF(OR(J28="",每周积分!$X$1&lt;=1),"",IFERROR(INDEX(每周积分!C28:T28,1,每周积分!$X$1-1),0))</f>
        <v/>
      </c>
      <c r="M28" s="27">
        <f>IF(J28="","",IF(每周积分!$X$1&lt;=1,"",N(K28)-N(L28)))</f>
        <v/>
      </c>
    </row>
    <row r="29">
      <c r="J29" s="27">
        <f>IF(每周积分!B29="","",每周积分!B29)</f>
        <v/>
      </c>
      <c r="K29" s="27">
        <f>IF(J29="","",IFERROR(INDEX(每周积分!C29:T29,1,每周积分!$X$1),0))</f>
        <v/>
      </c>
      <c r="L29" s="27">
        <f>IF(OR(J29="",每周积分!$X$1&lt;=1),"",IFERROR(INDEX(每周积分!C29:T29,1,每周积分!$X$1-1),0))</f>
        <v/>
      </c>
      <c r="M29" s="27">
        <f>IF(J29="","",IF(每周积分!$X$1&lt;=1,"",N(K29)-N(L29)))</f>
        <v/>
      </c>
    </row>
    <row r="30">
      <c r="J30" s="27">
        <f>IF(每周积分!B30="","",每周积分!B30)</f>
        <v/>
      </c>
      <c r="K30" s="27">
        <f>IF(J30="","",IFERROR(INDEX(每周积分!C30:T30,1,每周积分!$X$1),0))</f>
        <v/>
      </c>
      <c r="L30" s="27">
        <f>IF(OR(J30="",每周积分!$X$1&lt;=1),"",IFERROR(INDEX(每周积分!C30:T30,1,每周积分!$X$1-1),0))</f>
        <v/>
      </c>
      <c r="M30" s="27">
        <f>IF(J30="","",IF(每周积分!$X$1&lt;=1,"",N(K30)-N(L30)))</f>
        <v/>
      </c>
    </row>
    <row r="31">
      <c r="J31" s="27">
        <f>IF(每周积分!B31="","",每周积分!B31)</f>
        <v/>
      </c>
      <c r="K31" s="27">
        <f>IF(J31="","",IFERROR(INDEX(每周积分!C31:T31,1,每周积分!$X$1),0))</f>
        <v/>
      </c>
      <c r="L31" s="27">
        <f>IF(OR(J31="",每周积分!$X$1&lt;=1),"",IFERROR(INDEX(每周积分!C31:T31,1,每周积分!$X$1-1),0))</f>
        <v/>
      </c>
      <c r="M31" s="27">
        <f>IF(J31="","",IF(每周积分!$X$1&lt;=1,"",N(K31)-N(L31)))</f>
        <v/>
      </c>
    </row>
    <row r="32">
      <c r="J32" s="27">
        <f>IF(每周积分!B32="","",每周积分!B32)</f>
        <v/>
      </c>
      <c r="K32" s="27">
        <f>IF(J32="","",IFERROR(INDEX(每周积分!C32:T32,1,每周积分!$X$1),0))</f>
        <v/>
      </c>
      <c r="L32" s="27">
        <f>IF(OR(J32="",每周积分!$X$1&lt;=1),"",IFERROR(INDEX(每周积分!C32:T32,1,每周积分!$X$1-1),0))</f>
        <v/>
      </c>
      <c r="M32" s="27">
        <f>IF(J32="","",IF(每周积分!$X$1&lt;=1,"",N(K32)-N(L32)))</f>
        <v/>
      </c>
    </row>
    <row r="33">
      <c r="J33" s="27">
        <f>IF(每周积分!B33="","",每周积分!B33)</f>
        <v/>
      </c>
      <c r="K33" s="27">
        <f>IF(J33="","",IFERROR(INDEX(每周积分!C33:T33,1,每周积分!$X$1),0))</f>
        <v/>
      </c>
      <c r="L33" s="27">
        <f>IF(OR(J33="",每周积分!$X$1&lt;=1),"",IFERROR(INDEX(每周积分!C33:T33,1,每周积分!$X$1-1),0))</f>
        <v/>
      </c>
      <c r="M33" s="27">
        <f>IF(J33="","",IF(每周积分!$X$1&lt;=1,"",N(K33)-N(L33)))</f>
        <v/>
      </c>
    </row>
    <row r="34">
      <c r="J34" s="27">
        <f>IF(每周积分!B34="","",每周积分!B34)</f>
        <v/>
      </c>
      <c r="K34" s="27">
        <f>IF(J34="","",IFERROR(INDEX(每周积分!C34:T34,1,每周积分!$X$1),0))</f>
        <v/>
      </c>
      <c r="L34" s="27">
        <f>IF(OR(J34="",每周积分!$X$1&lt;=1),"",IFERROR(INDEX(每周积分!C34:T34,1,每周积分!$X$1-1),0))</f>
        <v/>
      </c>
      <c r="M34" s="27">
        <f>IF(J34="","",IF(每周积分!$X$1&lt;=1,"",N(K34)-N(L34)))</f>
        <v/>
      </c>
    </row>
    <row r="35">
      <c r="J35" s="27">
        <f>IF(每周积分!B35="","",每周积分!B35)</f>
        <v/>
      </c>
      <c r="K35" s="27">
        <f>IF(J35="","",IFERROR(INDEX(每周积分!C35:T35,1,每周积分!$X$1),0))</f>
        <v/>
      </c>
      <c r="L35" s="27">
        <f>IF(OR(J35="",每周积分!$X$1&lt;=1),"",IFERROR(INDEX(每周积分!C35:T35,1,每周积分!$X$1-1),0))</f>
        <v/>
      </c>
      <c r="M35" s="27">
        <f>IF(J35="","",IF(每周积分!$X$1&lt;=1,"",N(K35)-N(L35)))</f>
        <v/>
      </c>
    </row>
    <row r="36">
      <c r="J36" s="27">
        <f>IF(每周积分!B36="","",每周积分!B36)</f>
        <v/>
      </c>
      <c r="K36" s="27">
        <f>IF(J36="","",IFERROR(INDEX(每周积分!C36:T36,1,每周积分!$X$1),0))</f>
        <v/>
      </c>
      <c r="L36" s="27">
        <f>IF(OR(J36="",每周积分!$X$1&lt;=1),"",IFERROR(INDEX(每周积分!C36:T36,1,每周积分!$X$1-1),0))</f>
        <v/>
      </c>
      <c r="M36" s="27">
        <f>IF(J36="","",IF(每周积分!$X$1&lt;=1,"",N(K36)-N(L36)))</f>
        <v/>
      </c>
    </row>
    <row r="37">
      <c r="J37" s="27">
        <f>IF(每周积分!B37="","",每周积分!B37)</f>
        <v/>
      </c>
      <c r="K37" s="27">
        <f>IF(J37="","",IFERROR(INDEX(每周积分!C37:T37,1,每周积分!$X$1),0))</f>
        <v/>
      </c>
      <c r="L37" s="27">
        <f>IF(OR(J37="",每周积分!$X$1&lt;=1),"",IFERROR(INDEX(每周积分!C37:T37,1,每周积分!$X$1-1),0))</f>
        <v/>
      </c>
      <c r="M37" s="27">
        <f>IF(J37="","",IF(每周积分!$X$1&lt;=1,"",N(K37)-N(L37)))</f>
        <v/>
      </c>
    </row>
    <row r="38">
      <c r="J38" s="27">
        <f>IF(每周积分!B38="","",每周积分!B38)</f>
        <v/>
      </c>
      <c r="K38" s="27">
        <f>IF(J38="","",IFERROR(INDEX(每周积分!C38:T38,1,每周积分!$X$1),0))</f>
        <v/>
      </c>
      <c r="L38" s="27">
        <f>IF(OR(J38="",每周积分!$X$1&lt;=1),"",IFERROR(INDEX(每周积分!C38:T38,1,每周积分!$X$1-1),0))</f>
        <v/>
      </c>
      <c r="M38" s="27">
        <f>IF(J38="","",IF(每周积分!$X$1&lt;=1,"",N(K38)-N(L38)))</f>
        <v/>
      </c>
    </row>
    <row r="39">
      <c r="J39" s="27">
        <f>IF(每周积分!B39="","",每周积分!B39)</f>
        <v/>
      </c>
      <c r="K39" s="27">
        <f>IF(J39="","",IFERROR(INDEX(每周积分!C39:T39,1,每周积分!$X$1),0))</f>
        <v/>
      </c>
      <c r="L39" s="27">
        <f>IF(OR(J39="",每周积分!$X$1&lt;=1),"",IFERROR(INDEX(每周积分!C39:T39,1,每周积分!$X$1-1),0))</f>
        <v/>
      </c>
      <c r="M39" s="27">
        <f>IF(J39="","",IF(每周积分!$X$1&lt;=1,"",N(K39)-N(L39)))</f>
        <v/>
      </c>
    </row>
    <row r="40">
      <c r="J40" s="27">
        <f>IF(每周积分!B40="","",每周积分!B40)</f>
        <v/>
      </c>
      <c r="K40" s="27">
        <f>IF(J40="","",IFERROR(INDEX(每周积分!C40:T40,1,每周积分!$X$1),0))</f>
        <v/>
      </c>
      <c r="L40" s="27">
        <f>IF(OR(J40="",每周积分!$X$1&lt;=1),"",IFERROR(INDEX(每周积分!C40:T40,1,每周积分!$X$1-1),0))</f>
        <v/>
      </c>
      <c r="M40" s="27">
        <f>IF(J40="","",IF(每周积分!$X$1&lt;=1,"",N(K40)-N(L40)))</f>
        <v/>
      </c>
    </row>
    <row r="41">
      <c r="J41" s="27">
        <f>IF(每周积分!B41="","",每周积分!B41)</f>
        <v/>
      </c>
      <c r="K41" s="27">
        <f>IF(J41="","",IFERROR(INDEX(每周积分!C41:T41,1,每周积分!$X$1),0))</f>
        <v/>
      </c>
      <c r="L41" s="27">
        <f>IF(OR(J41="",每周积分!$X$1&lt;=1),"",IFERROR(INDEX(每周积分!C41:T41,1,每周积分!$X$1-1),0))</f>
        <v/>
      </c>
      <c r="M41" s="27">
        <f>IF(J41="","",IF(每周积分!$X$1&lt;=1,"",N(K41)-N(L41)))</f>
        <v/>
      </c>
    </row>
    <row r="42">
      <c r="J42" s="27">
        <f>IF(每周积分!B42="","",每周积分!B42)</f>
        <v/>
      </c>
      <c r="K42" s="27">
        <f>IF(J42="","",IFERROR(INDEX(每周积分!C42:T42,1,每周积分!$X$1),0))</f>
        <v/>
      </c>
      <c r="L42" s="27">
        <f>IF(OR(J42="",每周积分!$X$1&lt;=1),"",IFERROR(INDEX(每周积分!C42:T42,1,每周积分!$X$1-1),0))</f>
        <v/>
      </c>
      <c r="M42" s="27">
        <f>IF(J42="","",IF(每周积分!$X$1&lt;=1,"",N(K42)-N(L42)))</f>
        <v/>
      </c>
    </row>
    <row r="43">
      <c r="J43" s="27">
        <f>IF(每周积分!B43="","",每周积分!B43)</f>
        <v/>
      </c>
      <c r="K43" s="27">
        <f>IF(J43="","",IFERROR(INDEX(每周积分!C43:T43,1,每周积分!$X$1),0))</f>
        <v/>
      </c>
      <c r="L43" s="27">
        <f>IF(OR(J43="",每周积分!$X$1&lt;=1),"",IFERROR(INDEX(每周积分!C43:T43,1,每周积分!$X$1-1),0))</f>
        <v/>
      </c>
      <c r="M43" s="27">
        <f>IF(J43="","",IF(每周积分!$X$1&lt;=1,"",N(K43)-N(L43)))</f>
        <v/>
      </c>
    </row>
    <row r="44">
      <c r="J44" s="27">
        <f>IF(每周积分!B44="","",每周积分!B44)</f>
        <v/>
      </c>
      <c r="K44" s="27">
        <f>IF(J44="","",IFERROR(INDEX(每周积分!C44:T44,1,每周积分!$X$1),0))</f>
        <v/>
      </c>
      <c r="L44" s="27">
        <f>IF(OR(J44="",每周积分!$X$1&lt;=1),"",IFERROR(INDEX(每周积分!C44:T44,1,每周积分!$X$1-1),0))</f>
        <v/>
      </c>
      <c r="M44" s="27">
        <f>IF(J44="","",IF(每周积分!$X$1&lt;=1,"",N(K44)-N(L44)))</f>
        <v/>
      </c>
    </row>
    <row r="45">
      <c r="J45" s="27">
        <f>IF(每周积分!B45="","",每周积分!B45)</f>
        <v/>
      </c>
      <c r="K45" s="27">
        <f>IF(J45="","",IFERROR(INDEX(每周积分!C45:T45,1,每周积分!$X$1),0))</f>
        <v/>
      </c>
      <c r="L45" s="27">
        <f>IF(OR(J45="",每周积分!$X$1&lt;=1),"",IFERROR(INDEX(每周积分!C45:T45,1,每周积分!$X$1-1),0))</f>
        <v/>
      </c>
      <c r="M45" s="27">
        <f>IF(J45="","",IF(每周积分!$X$1&lt;=1,"",N(K45)-N(L45)))</f>
        <v/>
      </c>
    </row>
    <row r="46">
      <c r="J46" s="27">
        <f>IF(每周积分!B46="","",每周积分!B46)</f>
        <v/>
      </c>
      <c r="K46" s="27">
        <f>IF(J46="","",IFERROR(INDEX(每周积分!C46:T46,1,每周积分!$X$1),0))</f>
        <v/>
      </c>
      <c r="L46" s="27">
        <f>IF(OR(J46="",每周积分!$X$1&lt;=1),"",IFERROR(INDEX(每周积分!C46:T46,1,每周积分!$X$1-1),0))</f>
        <v/>
      </c>
      <c r="M46" s="27">
        <f>IF(J46="","",IF(每周积分!$X$1&lt;=1,"",N(K46)-N(L46)))</f>
        <v/>
      </c>
    </row>
    <row r="47">
      <c r="J47" s="27">
        <f>IF(每周积分!B47="","",每周积分!B47)</f>
        <v/>
      </c>
      <c r="K47" s="27">
        <f>IF(J47="","",IFERROR(INDEX(每周积分!C47:T47,1,每周积分!$X$1),0))</f>
        <v/>
      </c>
      <c r="L47" s="27">
        <f>IF(OR(J47="",每周积分!$X$1&lt;=1),"",IFERROR(INDEX(每周积分!C47:T47,1,每周积分!$X$1-1),0))</f>
        <v/>
      </c>
      <c r="M47" s="27">
        <f>IF(J47="","",IF(每周积分!$X$1&lt;=1,"",N(K47)-N(L47)))</f>
        <v/>
      </c>
    </row>
    <row r="48">
      <c r="J48" s="27">
        <f>IF(每周积分!B48="","",每周积分!B48)</f>
        <v/>
      </c>
      <c r="K48" s="27">
        <f>IF(J48="","",IFERROR(INDEX(每周积分!C48:T48,1,每周积分!$X$1),0))</f>
        <v/>
      </c>
      <c r="L48" s="27">
        <f>IF(OR(J48="",每周积分!$X$1&lt;=1),"",IFERROR(INDEX(每周积分!C48:T48,1,每周积分!$X$1-1),0))</f>
        <v/>
      </c>
      <c r="M48" s="27">
        <f>IF(J48="","",IF(每周积分!$X$1&lt;=1,"",N(K48)-N(L48)))</f>
        <v/>
      </c>
    </row>
    <row r="49">
      <c r="J49" s="27">
        <f>IF(每周积分!B49="","",每周积分!B49)</f>
        <v/>
      </c>
      <c r="K49" s="27">
        <f>IF(J49="","",IFERROR(INDEX(每周积分!C49:T49,1,每周积分!$X$1),0))</f>
        <v/>
      </c>
      <c r="L49" s="27">
        <f>IF(OR(J49="",每周积分!$X$1&lt;=1),"",IFERROR(INDEX(每周积分!C49:T49,1,每周积分!$X$1-1),0))</f>
        <v/>
      </c>
      <c r="M49" s="27">
        <f>IF(J49="","",IF(每周积分!$X$1&lt;=1,"",N(K49)-N(L49)))</f>
        <v/>
      </c>
    </row>
    <row r="50">
      <c r="J50" s="27">
        <f>IF(每周积分!B50="","",每周积分!B50)</f>
        <v/>
      </c>
      <c r="K50" s="27">
        <f>IF(J50="","",IFERROR(INDEX(每周积分!C50:T50,1,每周积分!$X$1),0))</f>
        <v/>
      </c>
      <c r="L50" s="27">
        <f>IF(OR(J50="",每周积分!$X$1&lt;=1),"",IFERROR(INDEX(每周积分!C50:T50,1,每周积分!$X$1-1),0))</f>
        <v/>
      </c>
      <c r="M50" s="27">
        <f>IF(J50="","",IF(每周积分!$X$1&lt;=1,"",N(K50)-N(L50)))</f>
        <v/>
      </c>
    </row>
    <row r="51">
      <c r="J51" s="27">
        <f>IF(每周积分!B51="","",每周积分!B51)</f>
        <v/>
      </c>
      <c r="K51" s="27">
        <f>IF(J51="","",IFERROR(INDEX(每周积分!C51:T51,1,每周积分!$X$1),0))</f>
        <v/>
      </c>
      <c r="L51" s="27">
        <f>IF(OR(J51="",每周积分!$X$1&lt;=1),"",IFERROR(INDEX(每周积分!C51:T51,1,每周积分!$X$1-1),0))</f>
        <v/>
      </c>
      <c r="M51" s="27">
        <f>IF(J51="","",IF(每周积分!$X$1&lt;=1,"",N(K51)-N(L51)))</f>
        <v/>
      </c>
    </row>
    <row r="52">
      <c r="J52" s="27">
        <f>IF(每周积分!B52="","",每周积分!B52)</f>
        <v/>
      </c>
      <c r="K52" s="27">
        <f>IF(J52="","",IFERROR(INDEX(每周积分!C52:T52,1,每周积分!$X$1),0))</f>
        <v/>
      </c>
      <c r="L52" s="27">
        <f>IF(OR(J52="",每周积分!$X$1&lt;=1),"",IFERROR(INDEX(每周积分!C52:T52,1,每周积分!$X$1-1),0))</f>
        <v/>
      </c>
      <c r="M52" s="27">
        <f>IF(J52="","",IF(每周积分!$X$1&lt;=1,"",N(K52)-N(L52)))</f>
        <v/>
      </c>
    </row>
  </sheetData>
  <mergeCells count="2">
    <mergeCell ref="A22:H22"/>
    <mergeCell ref="A1:H1"/>
  </mergeCells>
  <dataValidations count="2">
    <dataValidation sqref="C3:D20" showDropDown="0" showInputMessage="0" showErrorMessage="0" allowBlank="1" type="list">
      <formula1>=$J$3:$J$52</formula1>
    </dataValidation>
    <dataValidation sqref="G3:G20" showDropDown="0" showInputMessage="0" showErrorMessage="0" allowBlank="1" type="list">
      <formula1>"未做,已生成,已贴墙"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42" customWidth="1" min="5" max="5"/>
    <col width="10" customWidth="1" min="6" max="6"/>
  </cols>
  <sheetData>
    <row r="1" ht="48" customHeight="1">
      <c r="A1" s="4" t="inlineStr">
        <is>
          <t>全是公式，对着「学生档案」自动数。多选题用模糊匹配，逗号/分号/顿号都能数到。收齐点单后看第5/18/19/20题，把前几名抄进 90-C5。</t>
        </is>
      </c>
      <c r="B1" s="5" t="n"/>
      <c r="C1" s="5" t="n"/>
      <c r="D1" s="5" t="n"/>
      <c r="E1" s="5" t="n"/>
      <c r="F1" s="5" t="n"/>
    </row>
    <row r="2" ht="36" customHeight="1">
      <c r="A2" s="20" t="inlineStr">
        <is>
          <t>统计项</t>
        </is>
      </c>
      <c r="B2" s="20" t="inlineStr">
        <is>
          <t>选项</t>
        </is>
      </c>
      <c r="C2" s="20" t="inlineStr">
        <is>
          <t>人数</t>
        </is>
      </c>
      <c r="D2" s="20" t="inlineStr">
        <is>
          <t>占比</t>
        </is>
      </c>
      <c r="E2" s="20" t="inlineStr">
        <is>
          <t>用途</t>
        </is>
      </c>
      <c r="F2" s="20" t="inlineStr">
        <is>
          <t>对应点单表列</t>
        </is>
      </c>
    </row>
    <row r="3">
      <c r="A3" s="28" t="inlineStr">
        <is>
          <t>1 接触过会计吗</t>
        </is>
      </c>
      <c r="B3" s="28" t="inlineStr">
        <is>
          <t>完全没有</t>
        </is>
      </c>
      <c r="C3" s="28">
        <f>COUNTIF(学生档案!$D$3:$D$52,B3)</f>
        <v/>
      </c>
      <c r="D3" s="29">
        <f>IF(COUNTA(学生档案!$C$3:$C$52)=0,"",C3/COUNTA(学生档案!$C$3:$C$52))</f>
        <v/>
      </c>
      <c r="E3" s="28" t="inlineStr">
        <is>
          <t>分组：每组混一个数学好的、一个完全没接触过的</t>
        </is>
      </c>
      <c r="F3" s="28" t="inlineStr">
        <is>
          <t>D</t>
        </is>
      </c>
    </row>
    <row r="4">
      <c r="A4" s="28" t="n"/>
      <c r="B4" s="28" t="inlineStr">
        <is>
          <t>听说过没学过</t>
        </is>
      </c>
      <c r="C4" s="28">
        <f>COUNTIF(学生档案!$D$3:$D$52,B4)</f>
        <v/>
      </c>
      <c r="D4" s="29">
        <f>IF(COUNTA(学生档案!$C$3:$C$52)=0,"",C4/COUNTA(学生档案!$C$3:$C$52))</f>
        <v/>
      </c>
      <c r="E4" s="28" t="inlineStr">
        <is>
          <t>分组：每组混一个数学好的、一个完全没接触过的</t>
        </is>
      </c>
      <c r="F4" s="28" t="inlineStr">
        <is>
          <t>D</t>
        </is>
      </c>
    </row>
    <row r="5">
      <c r="A5" s="28" t="n"/>
      <c r="B5" s="28" t="inlineStr">
        <is>
          <t>家里有人做会计</t>
        </is>
      </c>
      <c r="C5" s="28">
        <f>COUNTIF(学生档案!$D$3:$D$52,B5)</f>
        <v/>
      </c>
      <c r="D5" s="29">
        <f>IF(COUNTA(学生档案!$C$3:$C$52)=0,"",C5/COUNTA(学生档案!$C$3:$C$52))</f>
        <v/>
      </c>
      <c r="E5" s="28" t="inlineStr">
        <is>
          <t>分组：每组混一个数学好的、一个完全没接触过的</t>
        </is>
      </c>
      <c r="F5" s="28" t="inlineStr">
        <is>
          <t>D</t>
        </is>
      </c>
    </row>
    <row r="6">
      <c r="A6" s="28" t="n"/>
      <c r="B6" s="28" t="inlineStr">
        <is>
          <t>自己学过一点</t>
        </is>
      </c>
      <c r="C6" s="28">
        <f>COUNTIF(学生档案!$D$3:$D$52,B6)</f>
        <v/>
      </c>
      <c r="D6" s="29">
        <f>IF(COUNTA(学生档案!$C$3:$C$52)=0,"",C6/COUNTA(学生档案!$C$3:$C$52))</f>
        <v/>
      </c>
      <c r="E6" s="28" t="inlineStr">
        <is>
          <t>分组：每组混一个数学好的、一个完全没接触过的</t>
        </is>
      </c>
      <c r="F6" s="28" t="inlineStr">
        <is>
          <t>D</t>
        </is>
      </c>
    </row>
    <row r="7">
      <c r="A7" s="28" t="inlineStr">
        <is>
          <t>2 数学怎么样</t>
        </is>
      </c>
      <c r="B7" s="28" t="inlineStr">
        <is>
          <t>还不错</t>
        </is>
      </c>
      <c r="C7" s="28">
        <f>COUNTIF(学生档案!$E$3:$E$52,B7)</f>
        <v/>
      </c>
      <c r="D7" s="29">
        <f>IF(COUNTA(学生档案!$C$3:$C$52)=0,"",C7/COUNTA(学生档案!$C$3:$C$52))</f>
        <v/>
      </c>
      <c r="E7" s="28" t="inlineStr">
        <is>
          <t>同上，分组用</t>
        </is>
      </c>
      <c r="F7" s="28" t="inlineStr">
        <is>
          <t>E</t>
        </is>
      </c>
    </row>
    <row r="8">
      <c r="A8" s="28" t="n"/>
      <c r="B8" s="28" t="inlineStr">
        <is>
          <t>一般</t>
        </is>
      </c>
      <c r="C8" s="28">
        <f>COUNTIF(学生档案!$E$3:$E$52,B8)</f>
        <v/>
      </c>
      <c r="D8" s="29">
        <f>IF(COUNTA(学生档案!$C$3:$C$52)=0,"",C8/COUNTA(学生档案!$C$3:$C$52))</f>
        <v/>
      </c>
      <c r="E8" s="28" t="inlineStr">
        <is>
          <t>同上，分组用</t>
        </is>
      </c>
      <c r="F8" s="28" t="inlineStr">
        <is>
          <t>E</t>
        </is>
      </c>
    </row>
    <row r="9">
      <c r="A9" s="28" t="n"/>
      <c r="B9" s="28" t="inlineStr">
        <is>
          <t>比较吃力</t>
        </is>
      </c>
      <c r="C9" s="28">
        <f>COUNTIF(学生档案!$E$3:$E$52,B9)</f>
        <v/>
      </c>
      <c r="D9" s="29">
        <f>IF(COUNTA(学生档案!$C$3:$C$52)=0,"",C9/COUNTA(学生档案!$C$3:$C$52))</f>
        <v/>
      </c>
      <c r="E9" s="28" t="inlineStr">
        <is>
          <t>同上，分组用</t>
        </is>
      </c>
      <c r="F9" s="28" t="inlineStr">
        <is>
          <t>E</t>
        </is>
      </c>
    </row>
    <row r="10">
      <c r="A10" s="28" t="n"/>
      <c r="B10" s="28" t="inlineStr">
        <is>
          <t>看到数字就头大</t>
        </is>
      </c>
      <c r="C10" s="28">
        <f>COUNTIF(学生档案!$E$3:$E$52,B10)</f>
        <v/>
      </c>
      <c r="D10" s="29">
        <f>IF(COUNTA(学生档案!$C$3:$C$52)=0,"",C10/COUNTA(学生档案!$C$3:$C$52))</f>
        <v/>
      </c>
      <c r="E10" s="28" t="inlineStr">
        <is>
          <t>同上，分组用</t>
        </is>
      </c>
      <c r="F10" s="28" t="inlineStr">
        <is>
          <t>E</t>
        </is>
      </c>
    </row>
    <row r="11">
      <c r="A11" s="28" t="inlineStr">
        <is>
          <t>3 希望怎么上课</t>
        </is>
      </c>
      <c r="B11" s="28" t="inlineStr">
        <is>
          <t>多做游戏比赛</t>
        </is>
      </c>
      <c r="C11" s="28">
        <f>COUNTIF(学生档案!$F$3:$F$52,"*"&amp;B11&amp;"*")</f>
        <v/>
      </c>
      <c r="D11" s="29">
        <f>IF(COUNTA(学生档案!$C$3:$C$52)=0,"",C11/COUNTA(学生档案!$C$3:$C$52))</f>
        <v/>
      </c>
      <c r="E11" s="28" t="inlineStr">
        <is>
          <t>超 70% 要游戏 → B 线加码</t>
        </is>
      </c>
      <c r="F11" s="28" t="inlineStr">
        <is>
          <t>F</t>
        </is>
      </c>
    </row>
    <row r="12">
      <c r="A12" s="28" t="n"/>
      <c r="B12" s="28" t="inlineStr">
        <is>
          <t>多讲实际案例</t>
        </is>
      </c>
      <c r="C12" s="28">
        <f>COUNTIF(学生档案!$F$3:$F$52,"*"&amp;B12&amp;"*")</f>
        <v/>
      </c>
      <c r="D12" s="29">
        <f>IF(COUNTA(学生档案!$C$3:$C$52)=0,"",C12/COUNTA(学生档案!$C$3:$C$52))</f>
        <v/>
      </c>
      <c r="E12" s="28" t="inlineStr">
        <is>
          <t>超 70% 要游戏 → B 线加码</t>
        </is>
      </c>
      <c r="F12" s="28" t="inlineStr">
        <is>
          <t>F</t>
        </is>
      </c>
    </row>
    <row r="13">
      <c r="A13" s="28" t="n"/>
      <c r="B13" s="28" t="inlineStr">
        <is>
          <t>多动手实训</t>
        </is>
      </c>
      <c r="C13" s="28">
        <f>COUNTIF(学生档案!$F$3:$F$52,"*"&amp;B13&amp;"*")</f>
        <v/>
      </c>
      <c r="D13" s="29">
        <f>IF(COUNTA(学生档案!$C$3:$C$52)=0,"",C13/COUNTA(学生档案!$C$3:$C$52))</f>
        <v/>
      </c>
      <c r="E13" s="28" t="inlineStr">
        <is>
          <t>超 70% 要游戏 → B 线加码</t>
        </is>
      </c>
      <c r="F13" s="28" t="inlineStr">
        <is>
          <t>F</t>
        </is>
      </c>
    </row>
    <row r="14">
      <c r="A14" s="28" t="n"/>
      <c r="B14" s="28" t="inlineStr">
        <is>
          <t>讲慢一点细一点</t>
        </is>
      </c>
      <c r="C14" s="28">
        <f>COUNTIF(学生档案!$F$3:$F$52,"*"&amp;B14&amp;"*")</f>
        <v/>
      </c>
      <c r="D14" s="29">
        <f>IF(COUNTA(学生档案!$C$3:$C$52)=0,"",C14/COUNTA(学生档案!$C$3:$C$52))</f>
        <v/>
      </c>
      <c r="E14" s="28" t="inlineStr">
        <is>
          <t>超 70% 要游戏 → B 线加码</t>
        </is>
      </c>
      <c r="F14" s="28" t="inlineStr">
        <is>
          <t>F</t>
        </is>
      </c>
    </row>
    <row r="15">
      <c r="A15" s="28" t="n"/>
      <c r="B15" s="28" t="inlineStr">
        <is>
          <t>多用视频动画</t>
        </is>
      </c>
      <c r="C15" s="28">
        <f>COUNTIF(学生档案!$F$3:$F$52,"*"&amp;B15&amp;"*")</f>
        <v/>
      </c>
      <c r="D15" s="29">
        <f>IF(COUNTA(学生档案!$C$3:$C$52)=0,"",C15/COUNTA(学生档案!$C$3:$C$52))</f>
        <v/>
      </c>
      <c r="E15" s="28" t="inlineStr">
        <is>
          <t>超 70% 要游戏 → B 线加码</t>
        </is>
      </c>
      <c r="F15" s="28" t="inlineStr">
        <is>
          <t>F</t>
        </is>
      </c>
    </row>
    <row r="16">
      <c r="A16" s="28" t="n"/>
      <c r="B16" s="28" t="inlineStr">
        <is>
          <t>多小组讨论</t>
        </is>
      </c>
      <c r="C16" s="28">
        <f>COUNTIF(学生档案!$F$3:$F$52,"*"&amp;B16&amp;"*")</f>
        <v/>
      </c>
      <c r="D16" s="29">
        <f>IF(COUNTA(学生档案!$C$3:$C$52)=0,"",C16/COUNTA(学生档案!$C$3:$C$52))</f>
        <v/>
      </c>
      <c r="E16" s="28" t="inlineStr">
        <is>
          <t>超 70% 要游戏 → B 线加码</t>
        </is>
      </c>
      <c r="F16" s="28" t="inlineStr">
        <is>
          <t>F</t>
        </is>
      </c>
    </row>
    <row r="17">
      <c r="A17" s="30" t="inlineStr">
        <is>
          <t>5 第7周起换哪个动画</t>
        </is>
      </c>
      <c r="B17" s="30" t="inlineStr">
        <is>
          <t>哆啦A梦</t>
        </is>
      </c>
      <c r="C17" s="30">
        <f>COUNTIF(学生档案!$H$3:$H$52,B17)</f>
        <v/>
      </c>
      <c r="D17" s="31">
        <f>IF(COUNTA(学生档案!$C$3:$C$52)=0,"",C17/COUNTA(学生档案!$C$3:$C$52))</f>
        <v/>
      </c>
      <c r="E17" s="30" t="inlineStr">
        <is>
          <t>得票最高 = 第7周起班底 IP</t>
        </is>
      </c>
      <c r="F17" s="30" t="inlineStr">
        <is>
          <t>H</t>
        </is>
      </c>
    </row>
    <row r="18">
      <c r="A18" s="30" t="n"/>
      <c r="B18" s="30" t="inlineStr">
        <is>
          <t>喜羊羊与灰太狼</t>
        </is>
      </c>
      <c r="C18" s="30">
        <f>COUNTIF(学生档案!$H$3:$H$52,B18)</f>
        <v/>
      </c>
      <c r="D18" s="31">
        <f>IF(COUNTA(学生档案!$C$3:$C$52)=0,"",C18/COUNTA(学生档案!$C$3:$C$52))</f>
        <v/>
      </c>
      <c r="E18" s="30" t="inlineStr">
        <is>
          <t>得票最高 = 第7周起班底 IP</t>
        </is>
      </c>
      <c r="F18" s="30" t="inlineStr">
        <is>
          <t>H</t>
        </is>
      </c>
    </row>
    <row r="19">
      <c r="A19" s="30" t="n"/>
      <c r="B19" s="30" t="inlineStr">
        <is>
          <t>继续用蜡笔小新</t>
        </is>
      </c>
      <c r="C19" s="30">
        <f>COUNTIF(学生档案!$H$3:$H$52,B19)</f>
        <v/>
      </c>
      <c r="D19" s="31">
        <f>IF(COUNTA(学生档案!$C$3:$C$52)=0,"",C19/COUNTA(学生档案!$C$3:$C$52))</f>
        <v/>
      </c>
      <c r="E19" s="30" t="inlineStr">
        <is>
          <t>得票最高 = 第7周起班底 IP</t>
        </is>
      </c>
      <c r="F19" s="30" t="inlineStr">
        <is>
          <t>H</t>
        </is>
      </c>
    </row>
    <row r="20">
      <c r="A20" s="28" t="inlineStr">
        <is>
          <t>16 愿不愿意当主角</t>
        </is>
      </c>
      <c r="B20" s="28" t="inlineStr">
        <is>
          <t>特别想</t>
        </is>
      </c>
      <c r="C20" s="28">
        <f>COUNTIF(学生档案!$S$3:$S$52,B20)</f>
        <v/>
      </c>
      <c r="D20" s="29">
        <f>IF(COUNTA(学生档案!$C$3:$C$52)=0,"",C20/COUNTA(学生档案!$C$3:$C$52))</f>
        <v/>
      </c>
      <c r="E20" s="28" t="inlineStr">
        <is>
          <t>出镜先找特别想/可以试试</t>
        </is>
      </c>
      <c r="F20" s="28" t="inlineStr">
        <is>
          <t>S</t>
        </is>
      </c>
    </row>
    <row r="21">
      <c r="A21" s="28" t="n"/>
      <c r="B21" s="28" t="inlineStr">
        <is>
          <t>可以试试</t>
        </is>
      </c>
      <c r="C21" s="28">
        <f>COUNTIF(学生档案!$S$3:$S$52,B21)</f>
        <v/>
      </c>
      <c r="D21" s="29">
        <f>IF(COUNTA(学生档案!$C$3:$C$52)=0,"",C21/COUNTA(学生档案!$C$3:$C$52))</f>
        <v/>
      </c>
      <c r="E21" s="28" t="inlineStr">
        <is>
          <t>出镜先找特别想/可以试试</t>
        </is>
      </c>
      <c r="F21" s="28" t="inlineStr">
        <is>
          <t>S</t>
        </is>
      </c>
    </row>
    <row r="22">
      <c r="A22" s="28" t="n"/>
      <c r="B22" s="28" t="inlineStr">
        <is>
          <t>别找我</t>
        </is>
      </c>
      <c r="C22" s="28">
        <f>COUNTIF(学生档案!$S$3:$S$52,B22)</f>
        <v/>
      </c>
      <c r="D22" s="29">
        <f>IF(COUNTA(学生档案!$C$3:$C$52)=0,"",C22/COUNTA(学生档案!$C$3:$C$52))</f>
        <v/>
      </c>
      <c r="E22" s="28" t="inlineStr">
        <is>
          <t>出镜先找特别想/可以试试</t>
        </is>
      </c>
      <c r="F22" s="28" t="inlineStr">
        <is>
          <t>S</t>
        </is>
      </c>
    </row>
    <row r="23">
      <c r="A23" s="28" t="n"/>
      <c r="B23" s="28" t="inlineStr">
        <is>
          <t>坚决不要</t>
        </is>
      </c>
      <c r="C23" s="28">
        <f>COUNTIF(学生档案!$S$3:$S$52,B23)</f>
        <v/>
      </c>
      <c r="D23" s="29">
        <f>IF(COUNTA(学生档案!$C$3:$C$52)=0,"",C23/COUNTA(学生档案!$C$3:$C$52))</f>
        <v/>
      </c>
      <c r="E23" s="28" t="inlineStr">
        <is>
          <t>出镜先找特别想/可以试试</t>
        </is>
      </c>
      <c r="F23" s="28" t="inlineStr">
        <is>
          <t>S</t>
        </is>
      </c>
    </row>
    <row r="24">
      <c r="A24" s="28" t="inlineStr">
        <is>
          <t>18 照片可否做形象</t>
        </is>
      </c>
      <c r="B24" s="28" t="inlineStr">
        <is>
          <t>随便用</t>
        </is>
      </c>
      <c r="C24" s="28">
        <f>COUNTIF(学生档案!$U$3:$U$52,B24)</f>
        <v/>
      </c>
      <c r="D24" s="29">
        <f>IF(COUNTA(学生档案!$C$3:$C$52)=0,"",C24/COUNTA(学生档案!$C$3:$C$52))</f>
        <v/>
      </c>
      <c r="E24" s="28" t="inlineStr">
        <is>
          <t>不要用 = 红线，用代号形象</t>
        </is>
      </c>
      <c r="F24" s="28" t="inlineStr">
        <is>
          <t>U</t>
        </is>
      </c>
    </row>
    <row r="25">
      <c r="A25" s="28" t="n"/>
      <c r="B25" s="28" t="inlineStr">
        <is>
          <t>可以但别太丑</t>
        </is>
      </c>
      <c r="C25" s="28">
        <f>COUNTIF(学生档案!$U$3:$U$52,B25)</f>
        <v/>
      </c>
      <c r="D25" s="29">
        <f>IF(COUNTA(学生档案!$C$3:$C$52)=0,"",C25/COUNTA(学生档案!$C$3:$C$52))</f>
        <v/>
      </c>
      <c r="E25" s="28" t="inlineStr">
        <is>
          <t>不要用 = 红线，用代号形象</t>
        </is>
      </c>
      <c r="F25" s="28" t="inlineStr">
        <is>
          <t>U</t>
        </is>
      </c>
    </row>
    <row r="26">
      <c r="A26" s="28" t="n"/>
      <c r="B26" s="28" t="inlineStr">
        <is>
          <t>只用于我自己的头像</t>
        </is>
      </c>
      <c r="C26" s="28">
        <f>COUNTIF(学生档案!$U$3:$U$52,B26)</f>
        <v/>
      </c>
      <c r="D26" s="29">
        <f>IF(COUNTA(学生档案!$C$3:$C$52)=0,"",C26/COUNTA(学生档案!$C$3:$C$52))</f>
        <v/>
      </c>
      <c r="E26" s="28" t="inlineStr">
        <is>
          <t>不要用 = 红线，用代号形象</t>
        </is>
      </c>
      <c r="F26" s="28" t="inlineStr">
        <is>
          <t>U</t>
        </is>
      </c>
    </row>
    <row r="27">
      <c r="A27" s="32" t="n"/>
      <c r="B27" s="32" t="inlineStr">
        <is>
          <t>不要用</t>
        </is>
      </c>
      <c r="C27" s="32">
        <f>COUNTIF(学生档案!$U$3:$U$52,B27)</f>
        <v/>
      </c>
      <c r="D27" s="33">
        <f>IF(COUNTA(学生档案!$C$3:$C$52)=0,"",C27/COUNTA(学生档案!$C$3:$C$52))</f>
        <v/>
      </c>
      <c r="E27" s="32" t="inlineStr">
        <is>
          <t>不要用 = 红线，用代号形象</t>
        </is>
      </c>
      <c r="F27" s="32" t="inlineStr">
        <is>
          <t>U</t>
        </is>
      </c>
    </row>
    <row r="28">
      <c r="A28" s="30" t="inlineStr">
        <is>
          <t>19 想要的奖励</t>
        </is>
      </c>
      <c r="B28" s="30" t="inlineStr">
        <is>
          <t>当主角上封面</t>
        </is>
      </c>
      <c r="C28" s="30">
        <f>COUNTIF(学生档案!$V$3:$V$52,"*"&amp;B28&amp;"*")</f>
        <v/>
      </c>
      <c r="D28" s="31">
        <f>IF(COUNTA(学生档案!$C$3:$C$52)=0,"",C28/COUNTA(学生档案!$C$3:$C$52))</f>
        <v/>
      </c>
      <c r="E28" s="30" t="inlineStr">
        <is>
          <t>前 3 名写进 90-C5 兑换清单</t>
        </is>
      </c>
      <c r="F28" s="30" t="inlineStr">
        <is>
          <t>V</t>
        </is>
      </c>
    </row>
    <row r="29">
      <c r="A29" s="30" t="n"/>
      <c r="B29" s="30" t="inlineStr">
        <is>
          <t>卡通形象升级</t>
        </is>
      </c>
      <c r="C29" s="30">
        <f>COUNTIF(学生档案!$V$3:$V$52,"*"&amp;B29&amp;"*")</f>
        <v/>
      </c>
      <c r="D29" s="31">
        <f>IF(COUNTA(学生档案!$C$3:$C$52)=0,"",C29/COUNTA(学生档案!$C$3:$C$52))</f>
        <v/>
      </c>
      <c r="E29" s="30" t="inlineStr">
        <is>
          <t>前 3 名写进 90-C5 兑换清单</t>
        </is>
      </c>
      <c r="F29" s="30" t="inlineStr">
        <is>
          <t>V</t>
        </is>
      </c>
    </row>
    <row r="30">
      <c r="A30" s="30" t="n"/>
      <c r="B30" s="30" t="inlineStr">
        <is>
          <t>加平时分</t>
        </is>
      </c>
      <c r="C30" s="30">
        <f>COUNTIF(学生档案!$V$3:$V$52,"*"&amp;B30&amp;"*")</f>
        <v/>
      </c>
      <c r="D30" s="31">
        <f>IF(COUNTA(学生档案!$C$3:$C$52)=0,"",C30/COUNTA(学生档案!$C$3:$C$52))</f>
        <v/>
      </c>
      <c r="E30" s="30" t="inlineStr">
        <is>
          <t>前 3 名写进 90-C5 兑换清单</t>
        </is>
      </c>
      <c r="F30" s="30" t="inlineStr">
        <is>
          <t>V</t>
        </is>
      </c>
    </row>
    <row r="31">
      <c r="A31" s="30" t="n"/>
      <c r="B31" s="30" t="inlineStr">
        <is>
          <t>免一次作业</t>
        </is>
      </c>
      <c r="C31" s="30">
        <f>COUNTIF(学生档案!$V$3:$V$52,"*"&amp;B31&amp;"*")</f>
        <v/>
      </c>
      <c r="D31" s="31">
        <f>IF(COUNTA(学生档案!$C$3:$C$52)=0,"",C31/COUNTA(学生档案!$C$3:$C$52))</f>
        <v/>
      </c>
      <c r="E31" s="30" t="inlineStr">
        <is>
          <t>前 3 名写进 90-C5 兑换清单</t>
        </is>
      </c>
      <c r="F31" s="30" t="inlineStr">
        <is>
          <t>V</t>
        </is>
      </c>
    </row>
    <row r="32">
      <c r="A32" s="30" t="n"/>
      <c r="B32" s="30" t="inlineStr">
        <is>
          <t>全班表扬</t>
        </is>
      </c>
      <c r="C32" s="30">
        <f>COUNTIF(学生档案!$V$3:$V$52,"*"&amp;B32&amp;"*")</f>
        <v/>
      </c>
      <c r="D32" s="31">
        <f>IF(COUNTA(学生档案!$C$3:$C$52)=0,"",C32/COUNTA(学生档案!$C$3:$C$52))</f>
        <v/>
      </c>
      <c r="E32" s="30" t="inlineStr">
        <is>
          <t>前 3 名写进 90-C5 兑换清单</t>
        </is>
      </c>
      <c r="F32" s="30" t="inlineStr">
        <is>
          <t>V</t>
        </is>
      </c>
    </row>
    <row r="33">
      <c r="A33" s="30" t="n"/>
      <c r="B33" s="30" t="inlineStr">
        <is>
          <t>小零食</t>
        </is>
      </c>
      <c r="C33" s="30">
        <f>COUNTIF(学生档案!$V$3:$V$52,"*"&amp;B33&amp;"*")</f>
        <v/>
      </c>
      <c r="D33" s="31">
        <f>IF(COUNTA(学生档案!$C$3:$C$52)=0,"",C33/COUNTA(学生档案!$C$3:$C$52))</f>
        <v/>
      </c>
      <c r="E33" s="30" t="inlineStr">
        <is>
          <t>前 3 名写进 90-C5 兑换清单</t>
        </is>
      </c>
      <c r="F33" s="30" t="inlineStr">
        <is>
          <t>V</t>
        </is>
      </c>
    </row>
    <row r="34">
      <c r="A34" s="30" t="inlineStr">
        <is>
          <t>20 能接受的惩罚</t>
        </is>
      </c>
      <c r="B34" s="30" t="inlineStr">
        <is>
          <t>做成搞笑表情包</t>
        </is>
      </c>
      <c r="C34" s="30">
        <f>COUNTIF(学生档案!$W$3:$W$52,"*"&amp;B34&amp;"*")</f>
        <v/>
      </c>
      <c r="D34" s="31">
        <f>IF(COUNTA(学生档案!$C$3:$C$52)=0,"",C34/COUNTA(学生档案!$C$3:$C$52))</f>
        <v/>
      </c>
      <c r="E34" s="30" t="inlineStr">
        <is>
          <t>前 3 名写进 90-C5 趣味认罚</t>
        </is>
      </c>
      <c r="F34" s="30" t="inlineStr">
        <is>
          <t>W</t>
        </is>
      </c>
    </row>
    <row r="35">
      <c r="A35" s="30" t="n"/>
      <c r="B35" s="30" t="inlineStr">
        <is>
          <t>上台讲一道题</t>
        </is>
      </c>
      <c r="C35" s="30">
        <f>COUNTIF(学生档案!$W$3:$W$52,"*"&amp;B35&amp;"*")</f>
        <v/>
      </c>
      <c r="D35" s="31">
        <f>IF(COUNTA(学生档案!$C$3:$C$52)=0,"",C35/COUNTA(学生档案!$C$3:$C$52))</f>
        <v/>
      </c>
      <c r="E35" s="30" t="inlineStr">
        <is>
          <t>前 3 名写进 90-C5 趣味认罚</t>
        </is>
      </c>
      <c r="F35" s="30" t="inlineStr">
        <is>
          <t>W</t>
        </is>
      </c>
    </row>
    <row r="36">
      <c r="A36" s="30" t="n"/>
      <c r="B36" s="30" t="inlineStr">
        <is>
          <t>帮同学讲懂一道题</t>
        </is>
      </c>
      <c r="C36" s="30">
        <f>COUNTIF(学生档案!$W$3:$W$52,"*"&amp;B36&amp;"*")</f>
        <v/>
      </c>
      <c r="D36" s="31">
        <f>IF(COUNTA(学生档案!$C$3:$C$52)=0,"",C36/COUNTA(学生档案!$C$3:$C$52))</f>
        <v/>
      </c>
      <c r="E36" s="30" t="inlineStr">
        <is>
          <t>前 3 名写进 90-C5 趣味认罚</t>
        </is>
      </c>
      <c r="F36" s="30" t="inlineStr">
        <is>
          <t>W</t>
        </is>
      </c>
    </row>
    <row r="37">
      <c r="A37" s="30" t="n"/>
      <c r="B37" s="30" t="inlineStr">
        <is>
          <t>表演才艺30秒</t>
        </is>
      </c>
      <c r="C37" s="30">
        <f>COUNTIF(学生档案!$W$3:$W$52,"*"&amp;B37&amp;"*")</f>
        <v/>
      </c>
      <c r="D37" s="31">
        <f>IF(COUNTA(学生档案!$C$3:$C$52)=0,"",C37/COUNTA(学生档案!$C$3:$C$52))</f>
        <v/>
      </c>
      <c r="E37" s="30" t="inlineStr">
        <is>
          <t>前 3 名写进 90-C5 趣味认罚</t>
        </is>
      </c>
      <c r="F37" s="30" t="inlineStr">
        <is>
          <t>W</t>
        </is>
      </c>
    </row>
    <row r="38">
      <c r="A38" s="30" t="n"/>
      <c r="B38" s="30" t="inlineStr">
        <is>
          <t>罚做一道题</t>
        </is>
      </c>
      <c r="C38" s="30">
        <f>COUNTIF(学生档案!$W$3:$W$52,"*"&amp;B38&amp;"*")</f>
        <v/>
      </c>
      <c r="D38" s="31">
        <f>IF(COUNTA(学生档案!$C$3:$C$52)=0,"",C38/COUNTA(学生档案!$C$3:$C$52))</f>
        <v/>
      </c>
      <c r="E38" s="30" t="inlineStr">
        <is>
          <t>前 3 名写进 90-C5 趣味认罚</t>
        </is>
      </c>
      <c r="F38" s="30" t="inlineStr">
        <is>
          <t>W</t>
        </is>
      </c>
    </row>
    <row r="40">
      <c r="A40" s="34" t="inlineStr">
        <is>
          <t>已填人数</t>
        </is>
      </c>
      <c r="B40" s="34" t="n"/>
      <c r="C40" s="34">
        <f>COUNTA(学生档案!$C$3:$C$52)</f>
        <v/>
      </c>
      <c r="D40" s="34" t="n"/>
      <c r="E40" s="34" t="inlineStr">
        <is>
          <t>分母，占比用这个</t>
        </is>
      </c>
    </row>
    <row r="41">
      <c r="A41" s="34" t="inlineStr">
        <is>
          <t>第18题红线人数</t>
        </is>
      </c>
      <c r="B41" s="34" t="n"/>
      <c r="C41" s="34">
        <f>COUNTIF(学生档案!$U$3:$U$52,"不要用")</f>
        <v/>
      </c>
      <c r="D41" s="34" t="n"/>
      <c r="E41" s="34" t="inlineStr">
        <is>
          <t>出镜绝对避开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838F"/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52" customWidth="1" min="4" max="4"/>
    <col width="10" customWidth="1" min="5" max="5"/>
    <col width="28" customWidth="1" min="6" max="6"/>
  </cols>
  <sheetData>
    <row r="1" ht="48" customHeight="1">
      <c r="A1" s="4" t="inlineStr">
        <is>
          <t>建企业微信收集表时，把「字段标题」整格复制，一个字都不要改。改了导出就对不上。飞书电子表格不用建，直接上传 90-C2.xlsx。</t>
        </is>
      </c>
      <c r="B1" s="5" t="n"/>
      <c r="C1" s="5" t="n"/>
      <c r="D1" s="5" t="n"/>
      <c r="E1" s="5" t="n"/>
      <c r="F1" s="5" t="n"/>
    </row>
    <row r="2" ht="36" customHeight="1">
      <c r="A2" s="35" t="inlineStr">
        <is>
          <t>序号</t>
        </is>
      </c>
      <c r="B2" s="35" t="inlineStr">
        <is>
          <t>题型（企业微信）</t>
        </is>
      </c>
      <c r="C2" s="35" t="inlineStr">
        <is>
          <t>字段标题（一字不差）</t>
        </is>
      </c>
      <c r="D2" s="35" t="inlineStr">
        <is>
          <t>选项（逐条粘贴）</t>
        </is>
      </c>
      <c r="E2" s="35" t="inlineStr">
        <is>
          <t>是否必填</t>
        </is>
      </c>
      <c r="F2" s="35" t="inlineStr">
        <is>
          <t>备注</t>
        </is>
      </c>
    </row>
    <row r="3" ht="18" customHeight="1">
      <c r="A3" s="36" t="n">
        <v>1</v>
      </c>
      <c r="B3" s="36" t="inlineStr">
        <is>
          <t>简答</t>
        </is>
      </c>
      <c r="C3" s="36" t="inlineStr">
        <is>
          <t>班级</t>
        </is>
      </c>
      <c r="D3" s="36" t="inlineStr">
        <is>
          <t>（无，学生自由写）</t>
        </is>
      </c>
      <c r="E3" s="36" t="inlineStr">
        <is>
          <t>必填</t>
        </is>
      </c>
      <c r="F3" s="36" t="inlineStr">
        <is>
          <t>必填</t>
        </is>
      </c>
    </row>
    <row r="4" ht="18" customHeight="1">
      <c r="A4" s="36" t="n">
        <v>2</v>
      </c>
      <c r="B4" s="36" t="inlineStr">
        <is>
          <t>简答</t>
        </is>
      </c>
      <c r="C4" s="36" t="inlineStr">
        <is>
          <t>学号</t>
        </is>
      </c>
      <c r="D4" s="36" t="inlineStr">
        <is>
          <t>（无，学生自由写）</t>
        </is>
      </c>
      <c r="E4" s="36" t="inlineStr">
        <is>
          <t>必填</t>
        </is>
      </c>
      <c r="F4" s="36" t="inlineStr">
        <is>
          <t>必填，作主键</t>
        </is>
      </c>
    </row>
    <row r="5" ht="18" customHeight="1">
      <c r="A5" s="36" t="n">
        <v>3</v>
      </c>
      <c r="B5" s="36" t="inlineStr">
        <is>
          <t>简答</t>
        </is>
      </c>
      <c r="C5" s="36" t="inlineStr">
        <is>
          <t>姓名</t>
        </is>
      </c>
      <c r="D5" s="36" t="inlineStr">
        <is>
          <t>（无，学生自由写）</t>
        </is>
      </c>
      <c r="E5" s="36" t="inlineStr">
        <is>
          <t>必填</t>
        </is>
      </c>
      <c r="F5" s="36" t="inlineStr">
        <is>
          <t>必填</t>
        </is>
      </c>
    </row>
    <row r="6" ht="28" customHeight="1">
      <c r="A6" s="36" t="n">
        <v>4</v>
      </c>
      <c r="B6" s="37" t="inlineStr">
        <is>
          <t>单选（或下拉）</t>
        </is>
      </c>
      <c r="C6" s="36" t="inlineStr">
        <is>
          <t>1_接触过会计吗</t>
        </is>
      </c>
      <c r="D6" s="36" t="inlineStr">
        <is>
          <t>完全没有 ／ 听说过没学过 ／ 家里有人做会计 ／ 自己学过一点</t>
        </is>
      </c>
      <c r="E6" s="36" t="inlineStr">
        <is>
          <t>必填</t>
        </is>
      </c>
      <c r="F6" s="36" t="inlineStr">
        <is>
          <t>单选</t>
        </is>
      </c>
    </row>
    <row r="7" ht="28" customHeight="1">
      <c r="A7" s="36" t="n">
        <v>5</v>
      </c>
      <c r="B7" s="37" t="inlineStr">
        <is>
          <t>单选（或下拉）</t>
        </is>
      </c>
      <c r="C7" s="36" t="inlineStr">
        <is>
          <t>2_数学怎么样</t>
        </is>
      </c>
      <c r="D7" s="36" t="inlineStr">
        <is>
          <t>还不错 ／ 一般 ／ 比较吃力 ／ 看到数字就头大</t>
        </is>
      </c>
      <c r="E7" s="36" t="inlineStr">
        <is>
          <t>必填</t>
        </is>
      </c>
      <c r="F7" s="36" t="inlineStr">
        <is>
          <t>单选</t>
        </is>
      </c>
    </row>
    <row r="8" ht="28" customHeight="1">
      <c r="A8" s="36" t="n">
        <v>6</v>
      </c>
      <c r="B8" s="38" t="inlineStr">
        <is>
          <t>多选</t>
        </is>
      </c>
      <c r="C8" s="36" t="inlineStr">
        <is>
          <t>3_希望怎么上课</t>
        </is>
      </c>
      <c r="D8" s="36" t="inlineStr">
        <is>
          <t>多做游戏比赛 ／ 多讲实际案例 ／ 多动手实训 ／ 讲慢一点细一点 ／ 多用视频动画 ／ 多小组讨论</t>
        </is>
      </c>
      <c r="E8" s="36" t="inlineStr">
        <is>
          <t>选填</t>
        </is>
      </c>
      <c r="F8" s="36" t="inlineStr">
        <is>
          <t>可多选，多个用中文分号；隔开</t>
        </is>
      </c>
    </row>
    <row r="9" ht="18" customHeight="1">
      <c r="A9" s="36" t="n">
        <v>7</v>
      </c>
      <c r="B9" s="36" t="inlineStr">
        <is>
          <t>简答</t>
        </is>
      </c>
      <c r="C9" s="36" t="inlineStr">
        <is>
          <t>4_最担心什么</t>
        </is>
      </c>
      <c r="D9" s="36" t="inlineStr">
        <is>
          <t>（无，学生自由写）</t>
        </is>
      </c>
      <c r="E9" s="36" t="inlineStr">
        <is>
          <t>选填</t>
        </is>
      </c>
      <c r="F9" s="36" t="inlineStr">
        <is>
          <t>简答</t>
        </is>
      </c>
    </row>
    <row r="10" ht="28" customHeight="1">
      <c r="A10" s="36" t="n">
        <v>8</v>
      </c>
      <c r="B10" s="37" t="inlineStr">
        <is>
          <t>单选（或下拉）</t>
        </is>
      </c>
      <c r="C10" s="36" t="inlineStr">
        <is>
          <t>5_第7周起换哪个动画</t>
        </is>
      </c>
      <c r="D10" s="36" t="inlineStr">
        <is>
          <t>哆啦A梦 ／ 喜羊羊与灰太狼 ／ 继续用蜡笔小新</t>
        </is>
      </c>
      <c r="E10" s="36" t="inlineStr">
        <is>
          <t>必填</t>
        </is>
      </c>
      <c r="F10" s="36" t="inlineStr">
        <is>
          <t>单选，全班票选主线IP</t>
        </is>
      </c>
    </row>
    <row r="11" ht="18" customHeight="1">
      <c r="A11" s="36" t="n">
        <v>9</v>
      </c>
      <c r="B11" s="36" t="inlineStr">
        <is>
          <t>简答</t>
        </is>
      </c>
      <c r="C11" s="36" t="inlineStr">
        <is>
          <t>6_还喜欢哪个动画</t>
        </is>
      </c>
      <c r="D11" s="36" t="inlineStr">
        <is>
          <t>（无，学生自由写）</t>
        </is>
      </c>
      <c r="E11" s="36" t="inlineStr">
        <is>
          <t>选填</t>
        </is>
      </c>
      <c r="F11" s="36" t="inlineStr">
        <is>
          <t>选填</t>
        </is>
      </c>
    </row>
    <row r="12" ht="18" customHeight="1">
      <c r="A12" s="36" t="n">
        <v>10</v>
      </c>
      <c r="B12" s="36" t="inlineStr">
        <is>
          <t>简答</t>
        </is>
      </c>
      <c r="C12" s="36" t="inlineStr">
        <is>
          <t>7_喜欢的明星主播偶像</t>
        </is>
      </c>
      <c r="D12" s="36" t="inlineStr">
        <is>
          <t>（无，学生自由写）</t>
        </is>
      </c>
      <c r="E12" s="36" t="inlineStr">
        <is>
          <t>选填</t>
        </is>
      </c>
      <c r="F12" s="36" t="inlineStr">
        <is>
          <t>选填，合照图用</t>
        </is>
      </c>
    </row>
    <row r="13" ht="18" customHeight="1">
      <c r="A13" s="36" t="n">
        <v>11</v>
      </c>
      <c r="B13" s="36" t="inlineStr">
        <is>
          <t>简答</t>
        </is>
      </c>
      <c r="C13" s="36" t="inlineStr">
        <is>
          <t>8_外号是什么谁起的</t>
        </is>
      </c>
      <c r="D13" s="36" t="inlineStr">
        <is>
          <t>（无，学生自由写）</t>
        </is>
      </c>
      <c r="E13" s="36" t="inlineStr">
        <is>
          <t>选填</t>
        </is>
      </c>
      <c r="F13" s="36" t="inlineStr">
        <is>
          <t>主角人设</t>
        </is>
      </c>
    </row>
    <row r="14" ht="18" customHeight="1">
      <c r="A14" s="36" t="n">
        <v>12</v>
      </c>
      <c r="B14" s="36" t="inlineStr">
        <is>
          <t>简答</t>
        </is>
      </c>
      <c r="C14" s="36" t="inlineStr">
        <is>
          <t>9_口头禅</t>
        </is>
      </c>
      <c r="D14" s="36" t="inlineStr">
        <is>
          <t>（无，学生自由写）</t>
        </is>
      </c>
      <c r="E14" s="36" t="inlineStr">
        <is>
          <t>选填</t>
        </is>
      </c>
      <c r="F14" s="36" t="inlineStr">
        <is>
          <t>主角人设</t>
        </is>
      </c>
    </row>
    <row r="15" ht="18" customHeight="1">
      <c r="A15" s="36" t="n">
        <v>13</v>
      </c>
      <c r="B15" s="36" t="inlineStr">
        <is>
          <t>简答</t>
        </is>
      </c>
      <c r="C15" s="36" t="inlineStr">
        <is>
          <t>10_小动作或小习惯</t>
        </is>
      </c>
      <c r="D15" s="36" t="inlineStr">
        <is>
          <t>（无，学生自由写）</t>
        </is>
      </c>
      <c r="E15" s="36" t="inlineStr">
        <is>
          <t>选填</t>
        </is>
      </c>
      <c r="F15" s="36" t="inlineStr">
        <is>
          <t>主角人设</t>
        </is>
      </c>
    </row>
    <row r="16" ht="18" customHeight="1">
      <c r="A16" s="36" t="n">
        <v>14</v>
      </c>
      <c r="B16" s="36" t="inlineStr">
        <is>
          <t>简答</t>
        </is>
      </c>
      <c r="C16" s="36" t="inlineStr">
        <is>
          <t>11_最怕上课被问到什么</t>
        </is>
      </c>
      <c r="D16" s="36" t="inlineStr">
        <is>
          <t>（无，学生自由写）</t>
        </is>
      </c>
      <c r="E16" s="36" t="inlineStr">
        <is>
          <t>选填</t>
        </is>
      </c>
      <c r="F16" s="36" t="inlineStr">
        <is>
          <t>主角人设</t>
        </is>
      </c>
    </row>
    <row r="17" ht="18" customHeight="1">
      <c r="A17" s="36" t="n">
        <v>15</v>
      </c>
      <c r="B17" s="36" t="inlineStr">
        <is>
          <t>简答</t>
        </is>
      </c>
      <c r="C17" s="36" t="inlineStr">
        <is>
          <t>12_平时最爱做什么</t>
        </is>
      </c>
      <c r="D17" s="36" t="inlineStr">
        <is>
          <t>（无，学生自由写）</t>
        </is>
      </c>
      <c r="E17" s="36" t="inlineStr">
        <is>
          <t>选填</t>
        </is>
      </c>
      <c r="F17" s="36" t="inlineStr">
        <is>
          <t>主角人设</t>
        </is>
      </c>
    </row>
    <row r="18" ht="18" customHeight="1">
      <c r="A18" s="36" t="n">
        <v>16</v>
      </c>
      <c r="B18" s="36" t="inlineStr">
        <is>
          <t>简答</t>
        </is>
      </c>
      <c r="C18" s="36" t="inlineStr">
        <is>
          <t>13_三个词形容自己</t>
        </is>
      </c>
      <c r="D18" s="36" t="inlineStr">
        <is>
          <t>（无，学生自由写）</t>
        </is>
      </c>
      <c r="E18" s="36" t="inlineStr">
        <is>
          <t>选填</t>
        </is>
      </c>
      <c r="F18" s="36" t="inlineStr">
        <is>
          <t>主角人设</t>
        </is>
      </c>
    </row>
    <row r="19" ht="18" customHeight="1">
      <c r="A19" s="36" t="n">
        <v>17</v>
      </c>
      <c r="B19" s="36" t="inlineStr">
        <is>
          <t>简答</t>
        </is>
      </c>
      <c r="C19" s="36" t="inlineStr">
        <is>
          <t>14_同桌三个词形容你</t>
        </is>
      </c>
      <c r="D19" s="36" t="inlineStr">
        <is>
          <t>（无，学生自由写）</t>
        </is>
      </c>
      <c r="E19" s="36" t="inlineStr">
        <is>
          <t>选填</t>
        </is>
      </c>
      <c r="F19" s="36" t="inlineStr">
        <is>
          <t>让同桌写</t>
        </is>
      </c>
    </row>
    <row r="20" ht="18" customHeight="1">
      <c r="A20" s="36" t="n">
        <v>18</v>
      </c>
      <c r="B20" s="36" t="inlineStr">
        <is>
          <t>简答</t>
        </is>
      </c>
      <c r="C20" s="36" t="inlineStr">
        <is>
          <t>15_舍友觉得最搞笑的事</t>
        </is>
      </c>
      <c r="D20" s="36" t="inlineStr">
        <is>
          <t>（无，学生自由写）</t>
        </is>
      </c>
      <c r="E20" s="36" t="inlineStr">
        <is>
          <t>选填</t>
        </is>
      </c>
      <c r="F20" s="36" t="inlineStr">
        <is>
          <t>选填</t>
        </is>
      </c>
    </row>
    <row r="21" ht="28" customHeight="1">
      <c r="A21" s="36" t="n">
        <v>19</v>
      </c>
      <c r="B21" s="37" t="inlineStr">
        <is>
          <t>单选（或下拉）</t>
        </is>
      </c>
      <c r="C21" s="36" t="inlineStr">
        <is>
          <t>16_愿不愿意当主角</t>
        </is>
      </c>
      <c r="D21" s="36" t="inlineStr">
        <is>
          <t>特别想 ／ 可以试试 ／ 别找我 ／ 坚决不要</t>
        </is>
      </c>
      <c r="E21" s="36" t="inlineStr">
        <is>
          <t>必填</t>
        </is>
      </c>
      <c r="F21" s="36" t="inlineStr">
        <is>
          <t>单选</t>
        </is>
      </c>
    </row>
    <row r="22" ht="18" customHeight="1">
      <c r="A22" s="36" t="n">
        <v>20</v>
      </c>
      <c r="B22" s="36" t="inlineStr">
        <is>
          <t>简答</t>
        </is>
      </c>
      <c r="C22" s="36" t="inlineStr">
        <is>
          <t>17_当主角想搞懂哪件事</t>
        </is>
      </c>
      <c r="D22" s="36" t="inlineStr">
        <is>
          <t>（无，学生自由写）</t>
        </is>
      </c>
      <c r="E22" s="36" t="inlineStr">
        <is>
          <t>选填</t>
        </is>
      </c>
      <c r="F22" s="36" t="inlineStr">
        <is>
          <t>选填</t>
        </is>
      </c>
    </row>
    <row r="23" ht="28" customHeight="1">
      <c r="A23" s="36" t="n">
        <v>21</v>
      </c>
      <c r="B23" s="37" t="inlineStr">
        <is>
          <t>单选（或下拉）</t>
        </is>
      </c>
      <c r="C23" s="36" t="inlineStr">
        <is>
          <t>18_照片可以做卡通形象吗</t>
        </is>
      </c>
      <c r="D23" s="36" t="inlineStr">
        <is>
          <t>随便用 ／ 可以但别太丑 ／ 只用于我自己的头像 ／ 不要用</t>
        </is>
      </c>
      <c r="E23" s="36" t="inlineStr">
        <is>
          <t>必填</t>
        </is>
      </c>
      <c r="F23" s="36" t="inlineStr">
        <is>
          <t>红线题</t>
        </is>
      </c>
    </row>
    <row r="24" ht="28" customHeight="1">
      <c r="A24" s="36" t="n">
        <v>22</v>
      </c>
      <c r="B24" s="38" t="inlineStr">
        <is>
          <t>多选</t>
        </is>
      </c>
      <c r="C24" s="36" t="inlineStr">
        <is>
          <t>19_想要的奖励</t>
        </is>
      </c>
      <c r="D24" s="36" t="inlineStr">
        <is>
          <t>当主角上封面 ／ 卡通形象升级 ／ 加平时分 ／ 免一次作业 ／ 全班表扬 ／ 小零食</t>
        </is>
      </c>
      <c r="E24" s="36" t="inlineStr">
        <is>
          <t>必填</t>
        </is>
      </c>
      <c r="F24" s="36" t="inlineStr">
        <is>
          <t>可多选，多个用中文分号；隔开。前几名写进90-C5</t>
        </is>
      </c>
    </row>
    <row r="25" ht="28" customHeight="1">
      <c r="A25" s="36" t="n">
        <v>23</v>
      </c>
      <c r="B25" s="38" t="inlineStr">
        <is>
          <t>多选</t>
        </is>
      </c>
      <c r="C25" s="36" t="inlineStr">
        <is>
          <t>20_能接受的惩罚</t>
        </is>
      </c>
      <c r="D25" s="36" t="inlineStr">
        <is>
          <t>做成搞笑表情包 ／ 上台讲一道题 ／ 帮同学讲懂一道题 ／ 表演才艺30秒 ／ 罚做一道题</t>
        </is>
      </c>
      <c r="E25" s="36" t="inlineStr">
        <is>
          <t>必填</t>
        </is>
      </c>
      <c r="F25" s="36" t="inlineStr">
        <is>
          <t>可多选，多个用中文分号；隔开。前几名写进90-C5</t>
        </is>
      </c>
    </row>
    <row r="26" ht="18" customHeight="1">
      <c r="A26" s="36" t="n">
        <v>24</v>
      </c>
      <c r="B26" s="36" t="inlineStr">
        <is>
          <t>简答</t>
        </is>
      </c>
      <c r="C26" s="36" t="inlineStr">
        <is>
          <t>21_想对老师说什么</t>
        </is>
      </c>
      <c r="D26" s="36" t="inlineStr">
        <is>
          <t>（无，学生自由写）</t>
        </is>
      </c>
      <c r="E26" s="36" t="inlineStr">
        <is>
          <t>选填</t>
        </is>
      </c>
      <c r="F26" s="36" t="inlineStr">
        <is>
          <t>选填</t>
        </is>
      </c>
    </row>
    <row r="27" ht="18" customHeight="1">
      <c r="A27" s="36" t="n">
        <v>25</v>
      </c>
      <c r="B27" s="36" t="inlineStr">
        <is>
          <t>日期</t>
        </is>
      </c>
      <c r="C27" s="36" t="inlineStr">
        <is>
          <t>填表日期</t>
        </is>
      </c>
      <c r="D27" s="36" t="inlineStr">
        <is>
          <t>（无，学生自由写）</t>
        </is>
      </c>
      <c r="E27" s="36" t="inlineStr">
        <is>
          <t>选填</t>
        </is>
      </c>
      <c r="F27" s="36" t="inlineStr">
        <is>
          <t>可空</t>
        </is>
      </c>
    </row>
    <row r="28" ht="18" customHeight="1">
      <c r="A28" s="36" t="n">
        <v>26</v>
      </c>
      <c r="B28" s="36" t="inlineStr">
        <is>
          <t>简答</t>
        </is>
      </c>
      <c r="C28" s="36" t="inlineStr">
        <is>
          <t>本人签名</t>
        </is>
      </c>
      <c r="D28" s="36" t="inlineStr">
        <is>
          <t>（无，学生自由写）</t>
        </is>
      </c>
      <c r="E28" s="36" t="inlineStr">
        <is>
          <t>选填</t>
        </is>
      </c>
      <c r="F28" s="36" t="inlineStr">
        <is>
          <t>纸质必填，电子可打姓名</t>
        </is>
      </c>
    </row>
    <row r="30">
      <c r="A30" s="39" t="inlineStr">
        <is>
          <t>企业微信导出后怎么贴</t>
        </is>
      </c>
    </row>
    <row r="31" ht="32" customHeight="1">
      <c r="A31" s="3" t="inlineStr">
        <is>
          <t>1. 收集表右上角 → 导出 Excel。打开导出文件，表头应与本页「字段标题」一致（企业微信有时会在最前面加「提交者」「提交时间」，那两列丢掉即可）。</t>
        </is>
      </c>
    </row>
    <row r="32" ht="32" customHeight="1">
      <c r="A32" s="3" t="inlineStr">
        <is>
          <t>2. 按列复制到「学生档案」对应列。不要整表硬贴——前面多出来的系统列会把学号挤歪。</t>
        </is>
      </c>
    </row>
    <row r="33" ht="32" customHeight="1">
      <c r="A33" s="3" t="inlineStr">
        <is>
          <t>3. 多选题导出常见分隔符：逗号、顿号、分号。问卷统计用的是模糊匹配，三种都能数到，不必替换。</t>
        </is>
      </c>
    </row>
    <row r="34" ht="32" customHeight="1">
      <c r="A34" s="3" t="inlineStr">
        <is>
          <t>4. 飞书电子表格：上传 90-C2.xlsx，把「点单表」分享给学生编辑。下拉一般还在。收齐后把 A:Z 复制到本文件「学生档案」A2 起，避开紫色 T_ 列。</t>
        </is>
      </c>
    </row>
    <row r="35" ht="32" customHeight="1">
      <c r="A35" s="3" t="inlineStr">
        <is>
          <t>5. 飞书多维表格 / 飞书问卷：导入只带文字。把单选列改成「单选」字段、多选列改成「多选」字段，选项从本页「选项」列再贴一次。</t>
        </is>
      </c>
    </row>
  </sheetData>
  <mergeCells count="7">
    <mergeCell ref="A33:F33"/>
    <mergeCell ref="A1:F1"/>
    <mergeCell ref="A32:F32"/>
    <mergeCell ref="A31:F31"/>
    <mergeCell ref="A34:F34"/>
    <mergeCell ref="A35:F35"/>
    <mergeCell ref="A30:F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8909C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2" customWidth="1" min="9" max="9"/>
  </cols>
  <sheetData>
    <row r="1">
      <c r="A1" s="40" t="inlineStr">
        <is>
          <t>下拉选项库（不要改文字，改了点单表和下拉会对不上）</t>
        </is>
      </c>
    </row>
    <row r="2">
      <c r="A2" s="41" t="inlineStr">
        <is>
          <t>1_接触过会计吗</t>
        </is>
      </c>
      <c r="B2" s="41" t="inlineStr">
        <is>
          <t>2_数学怎么样</t>
        </is>
      </c>
      <c r="C2" s="41" t="inlineStr">
        <is>
          <t>3_希望怎么上课</t>
        </is>
      </c>
      <c r="D2" s="41" t="inlineStr">
        <is>
          <t>5_第7周起换哪个动画</t>
        </is>
      </c>
      <c r="E2" s="41" t="inlineStr">
        <is>
          <t>16_愿不愿意当主角</t>
        </is>
      </c>
      <c r="F2" s="41" t="inlineStr">
        <is>
          <t>18_照片可以做卡通形象吗</t>
        </is>
      </c>
      <c r="G2" s="41" t="inlineStr">
        <is>
          <t>19_想要的奖励</t>
        </is>
      </c>
      <c r="H2" s="41" t="inlineStr">
        <is>
          <t>20_能接受的惩罚</t>
        </is>
      </c>
      <c r="I2" s="41" t="inlineStr">
        <is>
          <t>作业分档</t>
        </is>
      </c>
    </row>
    <row r="3">
      <c r="A3" s="42" t="inlineStr">
        <is>
          <t>完全没有</t>
        </is>
      </c>
      <c r="B3" s="42" t="inlineStr">
        <is>
          <t>还不错</t>
        </is>
      </c>
      <c r="C3" s="42" t="inlineStr">
        <is>
          <t>多做游戏比赛</t>
        </is>
      </c>
      <c r="D3" s="42" t="inlineStr">
        <is>
          <t>哆啦A梦</t>
        </is>
      </c>
      <c r="E3" s="42" t="inlineStr">
        <is>
          <t>特别想</t>
        </is>
      </c>
      <c r="F3" s="42" t="inlineStr">
        <is>
          <t>随便用</t>
        </is>
      </c>
      <c r="G3" s="42" t="inlineStr">
        <is>
          <t>当主角上封面</t>
        </is>
      </c>
      <c r="H3" s="42" t="inlineStr">
        <is>
          <t>做成搞笑表情包</t>
        </is>
      </c>
      <c r="I3" t="inlineStr">
        <is>
          <t>0</t>
        </is>
      </c>
    </row>
    <row r="4">
      <c r="A4" s="42" t="inlineStr">
        <is>
          <t>听说过没学过</t>
        </is>
      </c>
      <c r="B4" s="42" t="inlineStr">
        <is>
          <t>一般</t>
        </is>
      </c>
      <c r="C4" s="42" t="inlineStr">
        <is>
          <t>多讲实际案例</t>
        </is>
      </c>
      <c r="D4" s="42" t="inlineStr">
        <is>
          <t>喜羊羊与灰太狼</t>
        </is>
      </c>
      <c r="E4" s="42" t="inlineStr">
        <is>
          <t>可以试试</t>
        </is>
      </c>
      <c r="F4" s="42" t="inlineStr">
        <is>
          <t>可以但别太丑</t>
        </is>
      </c>
      <c r="G4" s="42" t="inlineStr">
        <is>
          <t>卡通形象升级</t>
        </is>
      </c>
      <c r="H4" s="42" t="inlineStr">
        <is>
          <t>上台讲一道题</t>
        </is>
      </c>
      <c r="I4" t="inlineStr">
        <is>
          <t>2</t>
        </is>
      </c>
    </row>
    <row r="5">
      <c r="A5" s="42" t="inlineStr">
        <is>
          <t>家里有人做会计</t>
        </is>
      </c>
      <c r="B5" s="42" t="inlineStr">
        <is>
          <t>比较吃力</t>
        </is>
      </c>
      <c r="C5" s="42" t="inlineStr">
        <is>
          <t>多动手实训</t>
        </is>
      </c>
      <c r="D5" s="42" t="inlineStr">
        <is>
          <t>继续用蜡笔小新</t>
        </is>
      </c>
      <c r="E5" s="42" t="inlineStr">
        <is>
          <t>别找我</t>
        </is>
      </c>
      <c r="F5" s="42" t="inlineStr">
        <is>
          <t>只用于我自己的头像</t>
        </is>
      </c>
      <c r="G5" s="42" t="inlineStr">
        <is>
          <t>加平时分</t>
        </is>
      </c>
      <c r="H5" s="42" t="inlineStr">
        <is>
          <t>帮同学讲懂一道题</t>
        </is>
      </c>
      <c r="I5" t="inlineStr">
        <is>
          <t>5</t>
        </is>
      </c>
    </row>
    <row r="6">
      <c r="A6" s="42" t="inlineStr">
        <is>
          <t>自己学过一点</t>
        </is>
      </c>
      <c r="B6" s="42" t="inlineStr">
        <is>
          <t>看到数字就头大</t>
        </is>
      </c>
      <c r="C6" s="42" t="inlineStr">
        <is>
          <t>讲慢一点细一点</t>
        </is>
      </c>
      <c r="E6" s="42" t="inlineStr">
        <is>
          <t>坚决不要</t>
        </is>
      </c>
      <c r="F6" s="42" t="inlineStr">
        <is>
          <t>不要用</t>
        </is>
      </c>
      <c r="G6" s="42" t="inlineStr">
        <is>
          <t>免一次作业</t>
        </is>
      </c>
      <c r="H6" s="42" t="inlineStr">
        <is>
          <t>表演才艺30秒</t>
        </is>
      </c>
    </row>
    <row r="7">
      <c r="C7" s="42" t="inlineStr">
        <is>
          <t>多用视频动画</t>
        </is>
      </c>
      <c r="G7" s="42" t="inlineStr">
        <is>
          <t>全班表扬</t>
        </is>
      </c>
      <c r="H7" s="42" t="inlineStr">
        <is>
          <t>罚做一道题</t>
        </is>
      </c>
    </row>
    <row r="8">
      <c r="C8" s="42" t="inlineStr">
        <is>
          <t>多小组讨论</t>
        </is>
      </c>
      <c r="G8" s="42" t="inlineStr">
        <is>
          <t>小零食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2026-08-19T16:29:40Z</dcterms:created>
  <dcterms:modified xmlns:dcterms="http://purl.org/dc/terms/" xmlns:xsi="http://www.w3.org/2001/XMLSchema-instance" xsi:type="dcterms:W3CDTF">2026-08-19T16:29:40Z</dcterms:modified>
</cp:coreProperties>
</file>